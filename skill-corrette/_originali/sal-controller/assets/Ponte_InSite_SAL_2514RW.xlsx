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codifica" sheetId="1" state="visible" r:id="rId3"/>
    <sheet name="Import InSite" sheetId="2" state="visible" r:id="rId4"/>
    <sheet name="Riepilogo per voce" sheetId="3" state="visible" r:id="rId5"/>
    <sheet name="Quadratura" sheetId="4" state="visible" r:id="rId6"/>
  </sheets>
  <definedNames>
    <definedName function="false" hidden="true" localSheetId="1" name="_xlnm._FilterDatabase" vbProcedure="false">'Import InSite'!$A$4:$N$600</definedName>
    <definedName function="false" hidden="true" localSheetId="0" name="_xlnm._FilterDatabase" vbProcedure="false">Transcodifica!$A$4:$J$400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<sst xmlns="http://schemas.openxmlformats.org/spreadsheetml/2006/main" count="62" uniqueCount="53">
  <si>
    <t xml:space="preserve">TABELLA DI TRANSCODIFICA — ITEM WBS → VOCE CONTRATTUALE · COMMESSA 2514RW</t>
  </si>
  <si>
    <t xml:space="preserve">Si costruisce UNA volta a setup con amministrazione GILI; si modifica solo per varianti approvate. Chiave primaria: Codice WBS.</t>
  </si>
  <si>
    <t xml:space="preserve">CODICE WBS (2514RW.WP.PP.ZZ.III)</t>
  </si>
  <si>
    <t xml:space="preserve">DESCRIZIONE ITEM</t>
  </si>
  <si>
    <t xml:space="preserve">WP</t>
  </si>
  <si>
    <t xml:space="preserve">ZONA / PIANO</t>
  </si>
  <si>
    <t xml:space="preserve">CODICE VOCE COMPUTO</t>
  </si>
  <si>
    <t xml:space="preserve">DESCRIZIONE VOCE</t>
  </si>
  <si>
    <t xml:space="preserve">UM VOCE</t>
  </si>
  <si>
    <t xml:space="preserve">TIPO VOCE</t>
  </si>
  <si>
    <t xml:space="preserve">QTÀ VOCE PER ITEM COMPLETO</t>
  </si>
  <si>
    <t xml:space="preserve">NOTE</t>
  </si>
  <si>
    <t xml:space="preserve">2514RW.02.03.CR.015</t>
  </si>
  <si>
    <t xml:space="preserve">(ESEMPIO) Boiserie corridoio P+3 tratto est</t>
  </si>
  <si>
    <t xml:space="preserve">WP2 CORRIDOI</t>
  </si>
  <si>
    <t xml:space="preserve">P+3 / CR</t>
  </si>
  <si>
    <t xml:space="preserve">V-BOI-02</t>
  </si>
  <si>
    <t xml:space="preserve">Boiserie in essenza come da capitolato</t>
  </si>
  <si>
    <t xml:space="preserve">mq</t>
  </si>
  <si>
    <t xml:space="preserve">A misura</t>
  </si>
  <si>
    <t xml:space="preserve">un item = 12,5 mq della voce</t>
  </si>
  <si>
    <t xml:space="preserve">IMPORT AVANZAMENTO INSITE — CUTOFF SAL N</t>
  </si>
  <si>
    <t xml:space="preserve">Incollare l'export/riepilogo liste al cutoff nelle colonne A–H. Le colonne I–N si calcolano da sole. Righe NON MAPPATO: completare la Transcodifica prima di procedere.</t>
  </si>
  <si>
    <t xml:space="preserve">CODICE WBS</t>
  </si>
  <si>
    <t xml:space="preserve">DESCRIZIONE</t>
  </si>
  <si>
    <t xml:space="preserve">STATO LISTA</t>
  </si>
  <si>
    <t xml:space="preserve">% AVANZ. (SE PARZIALE)</t>
  </si>
  <si>
    <t xml:space="preserve">DATA AGGIORNAMENTO</t>
  </si>
  <si>
    <t xml:space="preserve">RIF. DOC (ID LISTA / FOTO)</t>
  </si>
  <si>
    <t xml:space="preserve">VOCE COMPUTO</t>
  </si>
  <si>
    <t xml:space="preserve">UM</t>
  </si>
  <si>
    <t xml:space="preserve">QTÀ VOCE/ITEM</t>
  </si>
  <si>
    <t xml:space="preserve">FATTORE STATO</t>
  </si>
  <si>
    <t xml:space="preserve">QTÀ EQUIVALENTE PERIODO PROGR.</t>
  </si>
  <si>
    <t xml:space="preserve">QUANTITÀ PROGRESSIVE PER VOCE CONTRATTUALE — DA TRAVASARE NEL FOGLIO SAL AMMINISTRAZIONE</t>
  </si>
  <si>
    <t xml:space="preserve">Elencare le voci del computo in colonna A: la quantità progressiva si aggrega da sola dall'Import. Voci a corpo: la quantità equivale alla quota di avanzamento cumulata.</t>
  </si>
  <si>
    <t xml:space="preserve">QTÀ PROGRESSIVA DA INSITE</t>
  </si>
  <si>
    <t xml:space="preserve">N. ITEM CONTEGGIATI</t>
  </si>
  <si>
    <t xml:space="preserve">N. ITEM CONTESI (ESCLUSI)</t>
  </si>
  <si>
    <t xml:space="preserve">CONTROLLI DI QUADRATURA E RICONCILIAZIONE CONSEGNATO vs MONTATO</t>
  </si>
  <si>
    <t xml:space="preserve">Righe importate da InSite</t>
  </si>
  <si>
    <t xml:space="preserve">Righe NON MAPPATE (da risolvere prima del SAL)</t>
  </si>
  <si>
    <t xml:space="preserve">Item in stato Conteso (esclusi dall'importo)</t>
  </si>
  <si>
    <t xml:space="preserve">Item senza riferimento documentale (col. H vuota)</t>
  </si>
  <si>
    <t xml:space="preserve">Regola: con NON MAPPATE &gt; 0 o riferimenti mancanti &gt; 0 il travaso al SAL non parte.</t>
  </si>
  <si>
    <t xml:space="preserve">RICONCILIAZIONE PER WP — CONSEGNATO vs MONTATO</t>
  </si>
  <si>
    <t xml:space="preserve">MONTATO PROGR. (QTÀ EQUIV. DA INSITE)</t>
  </si>
  <si>
    <t xml:space="preserve">CONSEGNATO PROGR. (DA BOLLE/FATTURE — INPUT AMM.)</t>
  </si>
  <si>
    <t xml:space="preserve">SCARTO A PIÈ D'OPERA</t>
  </si>
  <si>
    <t xml:space="preserve">WP1 FOH</t>
  </si>
  <si>
    <t xml:space="preserve">WP3 SUITE</t>
  </si>
  <si>
    <t xml:space="preserve">WP4 SCALA B</t>
  </si>
  <si>
    <t xml:space="preserve">Nota: lo scarto positivo è fisiologico (materiale a piè d'opera in attesa di montaggio). Il SAL contabilizza il MONTATO; il consegnato-non-montato entra solo se il contratto riconosce l'approvvigionato, su righe separate.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</si>
</sst>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dd/mm/yyyy"/>
    <numFmt numFmtId="167" formatCode="0.00"/>
    <numFmt numFmtId="168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A1A1A"/>
      <name val="Arial"/>
      <family val="0"/>
      <charset val="1"/>
    </font>
    <font>
      <i val="true"/>
      <sz val="9"/>
      <color rgb="FFC0332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0332B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A1A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9C0006"/>
      </font>
      <fill>
        <patternFill>
          <bgColor rgb="FFF4CCCC"/>
        </patternFill>
      </fill>
    </dxf>
    <dxf>
      <fill>
        <patternFill>
          <bgColor rgb="FFFCE5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332B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6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2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5" t="s">
        <v>13</v>
      </c>
      <c r="C5" s="4" t="s">
        <v>14</v>
      </c>
      <c r="D5" s="4" t="s">
        <v>15</v>
      </c>
      <c r="E5" s="4" t="s">
        <v>16</v>
      </c>
      <c r="F5" s="5" t="s">
        <v>17</v>
      </c>
      <c r="G5" s="4" t="s">
        <v>18</v>
      </c>
      <c r="H5" s="4" t="s">
        <v>19</v>
      </c>
      <c r="I5" s="4" t="n">
        <v>12.5</v>
      </c>
      <c r="J5" s="5" t="s">
        <v>20</v>
      </c>
    </row>
    <row r="6" customFormat="false" ht="15" hidden="false" customHeight="false" outlineLevel="0" collapsed="false">
      <c r="A6" s="6"/>
      <c r="B6" s="7"/>
      <c r="C6" s="6"/>
      <c r="D6" s="6"/>
      <c r="E6" s="6"/>
      <c r="F6" s="7"/>
      <c r="G6" s="6"/>
      <c r="H6" s="6"/>
      <c r="I6" s="6"/>
      <c r="J6" s="7"/>
    </row>
    <row r="7" customFormat="false" ht="15" hidden="false" customHeight="false" outlineLevel="0" collapsed="false">
      <c r="A7" s="6"/>
      <c r="B7" s="7"/>
      <c r="C7" s="6"/>
      <c r="D7" s="6"/>
      <c r="E7" s="6"/>
      <c r="F7" s="7"/>
      <c r="G7" s="6"/>
      <c r="H7" s="6"/>
      <c r="I7" s="6"/>
      <c r="J7" s="7"/>
    </row>
    <row r="8" customFormat="false" ht="15" hidden="false" customHeight="false" outlineLevel="0" collapsed="false">
      <c r="A8" s="6"/>
      <c r="B8" s="7"/>
      <c r="C8" s="6"/>
      <c r="D8" s="6"/>
      <c r="E8" s="6"/>
      <c r="F8" s="7"/>
      <c r="G8" s="6"/>
      <c r="H8" s="6"/>
      <c r="I8" s="6"/>
      <c r="J8" s="7"/>
    </row>
    <row r="9" customFormat="false" ht="15" hidden="false" customHeight="false" outlineLevel="0" collapsed="false">
      <c r="A9" s="6"/>
      <c r="B9" s="7"/>
      <c r="C9" s="6"/>
      <c r="D9" s="6"/>
      <c r="E9" s="6"/>
      <c r="F9" s="7"/>
      <c r="G9" s="6"/>
      <c r="H9" s="6"/>
      <c r="I9" s="6"/>
      <c r="J9" s="7"/>
    </row>
    <row r="10" customFormat="false" ht="15" hidden="false" customHeight="false" outlineLevel="0" collapsed="false">
      <c r="A10" s="6"/>
      <c r="B10" s="7"/>
      <c r="C10" s="6"/>
      <c r="D10" s="6"/>
      <c r="E10" s="6"/>
      <c r="F10" s="7"/>
      <c r="G10" s="6"/>
      <c r="H10" s="6"/>
      <c r="I10" s="6"/>
      <c r="J10" s="7"/>
    </row>
    <row r="11" customFormat="false" ht="15" hidden="false" customHeight="false" outlineLevel="0" collapsed="false">
      <c r="A11" s="6"/>
      <c r="B11" s="7"/>
      <c r="C11" s="6"/>
      <c r="D11" s="6"/>
      <c r="E11" s="6"/>
      <c r="F11" s="7"/>
      <c r="G11" s="6"/>
      <c r="H11" s="6"/>
      <c r="I11" s="6"/>
      <c r="J11" s="7"/>
    </row>
    <row r="12" customFormat="false" ht="15" hidden="false" customHeight="false" outlineLevel="0" collapsed="false">
      <c r="A12" s="6"/>
      <c r="B12" s="7"/>
      <c r="C12" s="6"/>
      <c r="D12" s="6"/>
      <c r="E12" s="6"/>
      <c r="F12" s="7"/>
      <c r="G12" s="6"/>
      <c r="H12" s="6"/>
      <c r="I12" s="6"/>
      <c r="J12" s="7"/>
    </row>
    <row r="13" customFormat="false" ht="15" hidden="false" customHeight="false" outlineLevel="0" collapsed="false">
      <c r="A13" s="6"/>
      <c r="B13" s="7"/>
      <c r="C13" s="6"/>
      <c r="D13" s="6"/>
      <c r="E13" s="6"/>
      <c r="F13" s="7"/>
      <c r="G13" s="6"/>
      <c r="H13" s="6"/>
      <c r="I13" s="6"/>
      <c r="J13" s="7"/>
    </row>
    <row r="14" customFormat="false" ht="15" hidden="false" customHeight="false" outlineLevel="0" collapsed="false">
      <c r="A14" s="6"/>
      <c r="B14" s="7"/>
      <c r="C14" s="6"/>
      <c r="D14" s="6"/>
      <c r="E14" s="6"/>
      <c r="F14" s="7"/>
      <c r="G14" s="6"/>
      <c r="H14" s="6"/>
      <c r="I14" s="6"/>
      <c r="J14" s="7"/>
    </row>
    <row r="15" customFormat="false" ht="15" hidden="false" customHeight="false" outlineLevel="0" collapsed="false">
      <c r="A15" s="6"/>
      <c r="B15" s="7"/>
      <c r="C15" s="6"/>
      <c r="D15" s="6"/>
      <c r="E15" s="6"/>
      <c r="F15" s="7"/>
      <c r="G15" s="6"/>
      <c r="H15" s="6"/>
      <c r="I15" s="6"/>
      <c r="J15" s="7"/>
    </row>
    <row r="16" customFormat="false" ht="15" hidden="false" customHeight="false" outlineLevel="0" collapsed="false">
      <c r="A16" s="6"/>
      <c r="B16" s="7"/>
      <c r="C16" s="6"/>
      <c r="D16" s="6"/>
      <c r="E16" s="6"/>
      <c r="F16" s="7"/>
      <c r="G16" s="6"/>
      <c r="H16" s="6"/>
      <c r="I16" s="6"/>
      <c r="J16" s="7"/>
    </row>
    <row r="17" customFormat="false" ht="15" hidden="false" customHeight="false" outlineLevel="0" collapsed="false">
      <c r="A17" s="6"/>
      <c r="B17" s="7"/>
      <c r="C17" s="6"/>
      <c r="D17" s="6"/>
      <c r="E17" s="6"/>
      <c r="F17" s="7"/>
      <c r="G17" s="6"/>
      <c r="H17" s="6"/>
      <c r="I17" s="6"/>
      <c r="J17" s="7"/>
    </row>
    <row r="18" customFormat="false" ht="15" hidden="false" customHeight="false" outlineLevel="0" collapsed="false">
      <c r="A18" s="6"/>
      <c r="B18" s="7"/>
      <c r="C18" s="6"/>
      <c r="D18" s="6"/>
      <c r="E18" s="6"/>
      <c r="F18" s="7"/>
      <c r="G18" s="6"/>
      <c r="H18" s="6"/>
      <c r="I18" s="6"/>
      <c r="J18" s="7"/>
    </row>
    <row r="19" customFormat="false" ht="15" hidden="false" customHeight="false" outlineLevel="0" collapsed="false">
      <c r="A19" s="6"/>
      <c r="B19" s="7"/>
      <c r="C19" s="6"/>
      <c r="D19" s="6"/>
      <c r="E19" s="6"/>
      <c r="F19" s="7"/>
      <c r="G19" s="6"/>
      <c r="H19" s="6"/>
      <c r="I19" s="6"/>
      <c r="J19" s="7"/>
    </row>
    <row r="20" customFormat="false" ht="15" hidden="false" customHeight="false" outlineLevel="0" collapsed="false">
      <c r="A20" s="6"/>
      <c r="B20" s="7"/>
      <c r="C20" s="6"/>
      <c r="D20" s="6"/>
      <c r="E20" s="6"/>
      <c r="F20" s="7"/>
      <c r="G20" s="6"/>
      <c r="H20" s="6"/>
      <c r="I20" s="6"/>
      <c r="J20" s="7"/>
    </row>
    <row r="21" customFormat="false" ht="15" hidden="false" customHeight="false" outlineLevel="0" collapsed="false">
      <c r="A21" s="6"/>
      <c r="B21" s="7"/>
      <c r="C21" s="6"/>
      <c r="D21" s="6"/>
      <c r="E21" s="6"/>
      <c r="F21" s="7"/>
      <c r="G21" s="6"/>
      <c r="H21" s="6"/>
      <c r="I21" s="6"/>
      <c r="J21" s="7"/>
    </row>
    <row r="22" customFormat="false" ht="15" hidden="false" customHeight="false" outlineLevel="0" collapsed="false">
      <c r="A22" s="6"/>
      <c r="B22" s="7"/>
      <c r="C22" s="6"/>
      <c r="D22" s="6"/>
      <c r="E22" s="6"/>
      <c r="F22" s="7"/>
      <c r="G22" s="6"/>
      <c r="H22" s="6"/>
      <c r="I22" s="6"/>
      <c r="J22" s="7"/>
    </row>
    <row r="23" customFormat="false" ht="15" hidden="false" customHeight="false" outlineLevel="0" collapsed="false">
      <c r="A23" s="6"/>
      <c r="B23" s="7"/>
      <c r="C23" s="6"/>
      <c r="D23" s="6"/>
      <c r="E23" s="6"/>
      <c r="F23" s="7"/>
      <c r="G23" s="6"/>
      <c r="H23" s="6"/>
      <c r="I23" s="6"/>
      <c r="J23" s="7"/>
    </row>
    <row r="24" customFormat="false" ht="15" hidden="false" customHeight="false" outlineLevel="0" collapsed="false">
      <c r="A24" s="6"/>
      <c r="B24" s="7"/>
      <c r="C24" s="6"/>
      <c r="D24" s="6"/>
      <c r="E24" s="6"/>
      <c r="F24" s="7"/>
      <c r="G24" s="6"/>
      <c r="H24" s="6"/>
      <c r="I24" s="6"/>
      <c r="J24" s="7"/>
    </row>
    <row r="25" customFormat="false" ht="15" hidden="false" customHeight="false" outlineLevel="0" collapsed="false">
      <c r="A25" s="6"/>
      <c r="B25" s="7"/>
      <c r="C25" s="6"/>
      <c r="D25" s="6"/>
      <c r="E25" s="6"/>
      <c r="F25" s="7"/>
      <c r="G25" s="6"/>
      <c r="H25" s="6"/>
      <c r="I25" s="6"/>
      <c r="J25" s="7"/>
    </row>
    <row r="26" customFormat="false" ht="15" hidden="false" customHeight="false" outlineLevel="0" collapsed="false">
      <c r="A26" s="6"/>
      <c r="B26" s="7"/>
      <c r="C26" s="6"/>
      <c r="D26" s="6"/>
      <c r="E26" s="6"/>
      <c r="F26" s="7"/>
      <c r="G26" s="6"/>
      <c r="H26" s="6"/>
      <c r="I26" s="6"/>
      <c r="J26" s="7"/>
    </row>
    <row r="27" customFormat="false" ht="15" hidden="false" customHeight="false" outlineLevel="0" collapsed="false">
      <c r="A27" s="6"/>
      <c r="B27" s="7"/>
      <c r="C27" s="6"/>
      <c r="D27" s="6"/>
      <c r="E27" s="6"/>
      <c r="F27" s="7"/>
      <c r="G27" s="6"/>
      <c r="H27" s="6"/>
      <c r="I27" s="6"/>
      <c r="J27" s="7"/>
    </row>
    <row r="28" customFormat="false" ht="15" hidden="false" customHeight="false" outlineLevel="0" collapsed="false">
      <c r="A28" s="6"/>
      <c r="B28" s="7"/>
      <c r="C28" s="6"/>
      <c r="D28" s="6"/>
      <c r="E28" s="6"/>
      <c r="F28" s="7"/>
      <c r="G28" s="6"/>
      <c r="H28" s="6"/>
      <c r="I28" s="6"/>
      <c r="J28" s="7"/>
    </row>
    <row r="29" customFormat="false" ht="15" hidden="false" customHeight="false" outlineLevel="0" collapsed="false">
      <c r="A29" s="6"/>
      <c r="B29" s="7"/>
      <c r="C29" s="6"/>
      <c r="D29" s="6"/>
      <c r="E29" s="6"/>
      <c r="F29" s="7"/>
      <c r="G29" s="6"/>
      <c r="H29" s="6"/>
      <c r="I29" s="6"/>
      <c r="J29" s="7"/>
    </row>
    <row r="30" customFormat="false" ht="15" hidden="false" customHeight="false" outlineLevel="0" collapsed="false">
      <c r="A30" s="6"/>
      <c r="B30" s="7"/>
      <c r="C30" s="6"/>
      <c r="D30" s="6"/>
      <c r="E30" s="6"/>
      <c r="F30" s="7"/>
      <c r="G30" s="6"/>
      <c r="H30" s="6"/>
      <c r="I30" s="6"/>
      <c r="J30" s="7"/>
    </row>
    <row r="31" customFormat="false" ht="15" hidden="false" customHeight="false" outlineLevel="0" collapsed="false">
      <c r="A31" s="6"/>
      <c r="B31" s="7"/>
      <c r="C31" s="6"/>
      <c r="D31" s="6"/>
      <c r="E31" s="6"/>
      <c r="F31" s="7"/>
      <c r="G31" s="6"/>
      <c r="H31" s="6"/>
      <c r="I31" s="6"/>
      <c r="J31" s="7"/>
    </row>
    <row r="32" customFormat="false" ht="15" hidden="false" customHeight="false" outlineLevel="0" collapsed="false">
      <c r="A32" s="6"/>
      <c r="B32" s="7"/>
      <c r="C32" s="6"/>
      <c r="D32" s="6"/>
      <c r="E32" s="6"/>
      <c r="F32" s="7"/>
      <c r="G32" s="6"/>
      <c r="H32" s="6"/>
      <c r="I32" s="6"/>
      <c r="J32" s="7"/>
    </row>
    <row r="33" customFormat="false" ht="15" hidden="false" customHeight="false" outlineLevel="0" collapsed="false">
      <c r="A33" s="6"/>
      <c r="B33" s="7"/>
      <c r="C33" s="6"/>
      <c r="D33" s="6"/>
      <c r="E33" s="6"/>
      <c r="F33" s="7"/>
      <c r="G33" s="6"/>
      <c r="H33" s="6"/>
      <c r="I33" s="6"/>
      <c r="J33" s="7"/>
    </row>
    <row r="34" customFormat="false" ht="15" hidden="false" customHeight="false" outlineLevel="0" collapsed="false">
      <c r="A34" s="6"/>
      <c r="B34" s="7"/>
      <c r="C34" s="6"/>
      <c r="D34" s="6"/>
      <c r="E34" s="6"/>
      <c r="F34" s="7"/>
      <c r="G34" s="6"/>
      <c r="H34" s="6"/>
      <c r="I34" s="6"/>
      <c r="J34" s="7"/>
    </row>
    <row r="35" customFormat="false" ht="15" hidden="false" customHeight="false" outlineLevel="0" collapsed="false">
      <c r="A35" s="6"/>
      <c r="B35" s="7"/>
      <c r="C35" s="6"/>
      <c r="D35" s="6"/>
      <c r="E35" s="6"/>
      <c r="F35" s="7"/>
      <c r="G35" s="6"/>
      <c r="H35" s="6"/>
      <c r="I35" s="6"/>
      <c r="J35" s="7"/>
    </row>
    <row r="36" customFormat="false" ht="15" hidden="false" customHeight="false" outlineLevel="0" collapsed="false">
      <c r="A36" s="6"/>
      <c r="B36" s="7"/>
      <c r="C36" s="6"/>
      <c r="D36" s="6"/>
      <c r="E36" s="6"/>
      <c r="F36" s="7"/>
      <c r="G36" s="6"/>
      <c r="H36" s="6"/>
      <c r="I36" s="6"/>
      <c r="J36" s="7"/>
    </row>
    <row r="37" customFormat="false" ht="15" hidden="false" customHeight="false" outlineLevel="0" collapsed="false">
      <c r="A37" s="6"/>
      <c r="B37" s="7"/>
      <c r="C37" s="6"/>
      <c r="D37" s="6"/>
      <c r="E37" s="6"/>
      <c r="F37" s="7"/>
      <c r="G37" s="6"/>
      <c r="H37" s="6"/>
      <c r="I37" s="6"/>
      <c r="J37" s="7"/>
    </row>
    <row r="38" customFormat="false" ht="15" hidden="false" customHeight="false" outlineLevel="0" collapsed="false">
      <c r="A38" s="6"/>
      <c r="B38" s="7"/>
      <c r="C38" s="6"/>
      <c r="D38" s="6"/>
      <c r="E38" s="6"/>
      <c r="F38" s="7"/>
      <c r="G38" s="6"/>
      <c r="H38" s="6"/>
      <c r="I38" s="6"/>
      <c r="J38" s="7"/>
    </row>
    <row r="39" customFormat="false" ht="15" hidden="false" customHeight="false" outlineLevel="0" collapsed="false">
      <c r="A39" s="6"/>
      <c r="B39" s="7"/>
      <c r="C39" s="6"/>
      <c r="D39" s="6"/>
      <c r="E39" s="6"/>
      <c r="F39" s="7"/>
      <c r="G39" s="6"/>
      <c r="H39" s="6"/>
      <c r="I39" s="6"/>
      <c r="J39" s="7"/>
    </row>
    <row r="40" customFormat="false" ht="15" hidden="false" customHeight="false" outlineLevel="0" collapsed="false">
      <c r="A40" s="6"/>
      <c r="B40" s="7"/>
      <c r="C40" s="6"/>
      <c r="D40" s="6"/>
      <c r="E40" s="6"/>
      <c r="F40" s="7"/>
      <c r="G40" s="6"/>
      <c r="H40" s="6"/>
      <c r="I40" s="6"/>
      <c r="J40" s="7"/>
    </row>
    <row r="41" customFormat="false" ht="15" hidden="false" customHeight="false" outlineLevel="0" collapsed="false">
      <c r="A41" s="6"/>
      <c r="B41" s="7"/>
      <c r="C41" s="6"/>
      <c r="D41" s="6"/>
      <c r="E41" s="6"/>
      <c r="F41" s="7"/>
      <c r="G41" s="6"/>
      <c r="H41" s="6"/>
      <c r="I41" s="6"/>
      <c r="J41" s="7"/>
    </row>
    <row r="42" customFormat="false" ht="15" hidden="false" customHeight="false" outlineLevel="0" collapsed="false">
      <c r="A42" s="6"/>
      <c r="B42" s="7"/>
      <c r="C42" s="6"/>
      <c r="D42" s="6"/>
      <c r="E42" s="6"/>
      <c r="F42" s="7"/>
      <c r="G42" s="6"/>
      <c r="H42" s="6"/>
      <c r="I42" s="6"/>
      <c r="J42" s="7"/>
    </row>
    <row r="43" customFormat="false" ht="15" hidden="false" customHeight="false" outlineLevel="0" collapsed="false">
      <c r="A43" s="6"/>
      <c r="B43" s="7"/>
      <c r="C43" s="6"/>
      <c r="D43" s="6"/>
      <c r="E43" s="6"/>
      <c r="F43" s="7"/>
      <c r="G43" s="6"/>
      <c r="H43" s="6"/>
      <c r="I43" s="6"/>
      <c r="J43" s="7"/>
    </row>
    <row r="44" customFormat="false" ht="15" hidden="false" customHeight="false" outlineLevel="0" collapsed="false">
      <c r="A44" s="6"/>
      <c r="B44" s="7"/>
      <c r="C44" s="6"/>
      <c r="D44" s="6"/>
      <c r="E44" s="6"/>
      <c r="F44" s="7"/>
      <c r="G44" s="6"/>
      <c r="H44" s="6"/>
      <c r="I44" s="6"/>
      <c r="J44" s="7"/>
    </row>
    <row r="45" customFormat="false" ht="15" hidden="false" customHeight="false" outlineLevel="0" collapsed="false">
      <c r="A45" s="6"/>
      <c r="B45" s="7"/>
      <c r="C45" s="6"/>
      <c r="D45" s="6"/>
      <c r="E45" s="6"/>
      <c r="F45" s="7"/>
      <c r="G45" s="6"/>
      <c r="H45" s="6"/>
      <c r="I45" s="6"/>
      <c r="J45" s="7"/>
    </row>
    <row r="46" customFormat="false" ht="15" hidden="false" customHeight="false" outlineLevel="0" collapsed="false">
      <c r="A46" s="6"/>
      <c r="B46" s="7"/>
      <c r="C46" s="6"/>
      <c r="D46" s="6"/>
      <c r="E46" s="6"/>
      <c r="F46" s="7"/>
      <c r="G46" s="6"/>
      <c r="H46" s="6"/>
      <c r="I46" s="6"/>
      <c r="J46" s="7"/>
    </row>
    <row r="47" customFormat="false" ht="15" hidden="false" customHeight="false" outlineLevel="0" collapsed="false">
      <c r="A47" s="6"/>
      <c r="B47" s="7"/>
      <c r="C47" s="6"/>
      <c r="D47" s="6"/>
      <c r="E47" s="6"/>
      <c r="F47" s="7"/>
      <c r="G47" s="6"/>
      <c r="H47" s="6"/>
      <c r="I47" s="6"/>
      <c r="J47" s="7"/>
    </row>
    <row r="48" customFormat="false" ht="15" hidden="false" customHeight="false" outlineLevel="0" collapsed="false">
      <c r="A48" s="6"/>
      <c r="B48" s="7"/>
      <c r="C48" s="6"/>
      <c r="D48" s="6"/>
      <c r="E48" s="6"/>
      <c r="F48" s="7"/>
      <c r="G48" s="6"/>
      <c r="H48" s="6"/>
      <c r="I48" s="6"/>
      <c r="J48" s="7"/>
    </row>
    <row r="49" customFormat="false" ht="15" hidden="false" customHeight="false" outlineLevel="0" collapsed="false">
      <c r="A49" s="6"/>
      <c r="B49" s="7"/>
      <c r="C49" s="6"/>
      <c r="D49" s="6"/>
      <c r="E49" s="6"/>
      <c r="F49" s="7"/>
      <c r="G49" s="6"/>
      <c r="H49" s="6"/>
      <c r="I49" s="6"/>
      <c r="J49" s="7"/>
    </row>
    <row r="50" customFormat="false" ht="15" hidden="false" customHeight="false" outlineLevel="0" collapsed="false">
      <c r="A50" s="6"/>
      <c r="B50" s="7"/>
      <c r="C50" s="6"/>
      <c r="D50" s="6"/>
      <c r="E50" s="6"/>
      <c r="F50" s="7"/>
      <c r="G50" s="6"/>
      <c r="H50" s="6"/>
      <c r="I50" s="6"/>
      <c r="J50" s="7"/>
    </row>
    <row r="51" customFormat="false" ht="15" hidden="false" customHeight="false" outlineLevel="0" collapsed="false">
      <c r="A51" s="6"/>
      <c r="B51" s="7"/>
      <c r="C51" s="6"/>
      <c r="D51" s="6"/>
      <c r="E51" s="6"/>
      <c r="F51" s="7"/>
      <c r="G51" s="6"/>
      <c r="H51" s="6"/>
      <c r="I51" s="6"/>
      <c r="J51" s="7"/>
    </row>
    <row r="52" customFormat="false" ht="15" hidden="false" customHeight="false" outlineLevel="0" collapsed="false">
      <c r="A52" s="6"/>
      <c r="B52" s="7"/>
      <c r="C52" s="6"/>
      <c r="D52" s="6"/>
      <c r="E52" s="6"/>
      <c r="F52" s="7"/>
      <c r="G52" s="6"/>
      <c r="H52" s="6"/>
      <c r="I52" s="6"/>
      <c r="J52" s="7"/>
    </row>
    <row r="53" customFormat="false" ht="15" hidden="false" customHeight="false" outlineLevel="0" collapsed="false">
      <c r="A53" s="6"/>
      <c r="B53" s="7"/>
      <c r="C53" s="6"/>
      <c r="D53" s="6"/>
      <c r="E53" s="6"/>
      <c r="F53" s="7"/>
      <c r="G53" s="6"/>
      <c r="H53" s="6"/>
      <c r="I53" s="6"/>
      <c r="J53" s="7"/>
    </row>
    <row r="54" customFormat="false" ht="15" hidden="false" customHeight="false" outlineLevel="0" collapsed="false">
      <c r="A54" s="6"/>
      <c r="B54" s="7"/>
      <c r="C54" s="6"/>
      <c r="D54" s="6"/>
      <c r="E54" s="6"/>
      <c r="F54" s="7"/>
      <c r="G54" s="6"/>
      <c r="H54" s="6"/>
      <c r="I54" s="6"/>
      <c r="J54" s="7"/>
    </row>
    <row r="55" customFormat="false" ht="15" hidden="false" customHeight="false" outlineLevel="0" collapsed="false">
      <c r="A55" s="6"/>
      <c r="B55" s="7"/>
      <c r="C55" s="6"/>
      <c r="D55" s="6"/>
      <c r="E55" s="6"/>
      <c r="F55" s="7"/>
      <c r="G55" s="6"/>
      <c r="H55" s="6"/>
      <c r="I55" s="6"/>
      <c r="J55" s="7"/>
    </row>
    <row r="56" customFormat="false" ht="15" hidden="false" customHeight="false" outlineLevel="0" collapsed="false">
      <c r="A56" s="6"/>
      <c r="B56" s="7"/>
      <c r="C56" s="6"/>
      <c r="D56" s="6"/>
      <c r="E56" s="6"/>
      <c r="F56" s="7"/>
      <c r="G56" s="6"/>
      <c r="H56" s="6"/>
      <c r="I56" s="6"/>
      <c r="J56" s="7"/>
    </row>
    <row r="57" customFormat="false" ht="15" hidden="false" customHeight="false" outlineLevel="0" collapsed="false">
      <c r="A57" s="6"/>
      <c r="B57" s="7"/>
      <c r="C57" s="6"/>
      <c r="D57" s="6"/>
      <c r="E57" s="6"/>
      <c r="F57" s="7"/>
      <c r="G57" s="6"/>
      <c r="H57" s="6"/>
      <c r="I57" s="6"/>
      <c r="J57" s="7"/>
    </row>
    <row r="58" customFormat="false" ht="15" hidden="false" customHeight="false" outlineLevel="0" collapsed="false">
      <c r="A58" s="6"/>
      <c r="B58" s="7"/>
      <c r="C58" s="6"/>
      <c r="D58" s="6"/>
      <c r="E58" s="6"/>
      <c r="F58" s="7"/>
      <c r="G58" s="6"/>
      <c r="H58" s="6"/>
      <c r="I58" s="6"/>
      <c r="J58" s="7"/>
    </row>
    <row r="59" customFormat="false" ht="15" hidden="false" customHeight="false" outlineLevel="0" collapsed="false">
      <c r="A59" s="6"/>
      <c r="B59" s="7"/>
      <c r="C59" s="6"/>
      <c r="D59" s="6"/>
      <c r="E59" s="6"/>
      <c r="F59" s="7"/>
      <c r="G59" s="6"/>
      <c r="H59" s="6"/>
      <c r="I59" s="6"/>
      <c r="J59" s="7"/>
    </row>
    <row r="60" customFormat="false" ht="15" hidden="false" customHeight="false" outlineLevel="0" collapsed="false">
      <c r="A60" s="6"/>
      <c r="B60" s="7"/>
      <c r="C60" s="6"/>
      <c r="D60" s="6"/>
      <c r="E60" s="6"/>
      <c r="F60" s="7"/>
      <c r="G60" s="6"/>
      <c r="H60" s="6"/>
      <c r="I60" s="6"/>
      <c r="J60" s="7"/>
    </row>
    <row r="61" customFormat="false" ht="15" hidden="false" customHeight="false" outlineLevel="0" collapsed="false">
      <c r="A61" s="6"/>
      <c r="B61" s="7"/>
      <c r="C61" s="6"/>
      <c r="D61" s="6"/>
      <c r="E61" s="6"/>
      <c r="F61" s="7"/>
      <c r="G61" s="6"/>
      <c r="H61" s="6"/>
      <c r="I61" s="6"/>
      <c r="J61" s="7"/>
    </row>
    <row r="62" customFormat="false" ht="15" hidden="false" customHeight="false" outlineLevel="0" collapsed="false">
      <c r="A62" s="6"/>
      <c r="B62" s="7"/>
      <c r="C62" s="6"/>
      <c r="D62" s="6"/>
      <c r="E62" s="6"/>
      <c r="F62" s="7"/>
      <c r="G62" s="6"/>
      <c r="H62" s="6"/>
      <c r="I62" s="6"/>
      <c r="J62" s="7"/>
    </row>
    <row r="63" customFormat="false" ht="15" hidden="false" customHeight="false" outlineLevel="0" collapsed="false">
      <c r="A63" s="6"/>
      <c r="B63" s="7"/>
      <c r="C63" s="6"/>
      <c r="D63" s="6"/>
      <c r="E63" s="6"/>
      <c r="F63" s="7"/>
      <c r="G63" s="6"/>
      <c r="H63" s="6"/>
      <c r="I63" s="6"/>
      <c r="J63" s="7"/>
    </row>
    <row r="64" customFormat="false" ht="15" hidden="false" customHeight="false" outlineLevel="0" collapsed="false">
      <c r="A64" s="6"/>
      <c r="B64" s="7"/>
      <c r="C64" s="6"/>
      <c r="D64" s="6"/>
      <c r="E64" s="6"/>
      <c r="F64" s="7"/>
      <c r="G64" s="6"/>
      <c r="H64" s="6"/>
      <c r="I64" s="6"/>
      <c r="J64" s="7"/>
    </row>
    <row r="65" customFormat="false" ht="15" hidden="false" customHeight="false" outlineLevel="0" collapsed="false">
      <c r="A65" s="6"/>
      <c r="B65" s="7"/>
      <c r="C65" s="6"/>
      <c r="D65" s="6"/>
      <c r="E65" s="6"/>
      <c r="F65" s="7"/>
      <c r="G65" s="6"/>
      <c r="H65" s="6"/>
      <c r="I65" s="6"/>
      <c r="J65" s="7"/>
    </row>
    <row r="66" customFormat="false" ht="15" hidden="false" customHeight="false" outlineLevel="0" collapsed="false">
      <c r="A66" s="6"/>
      <c r="B66" s="7"/>
      <c r="C66" s="6"/>
      <c r="D66" s="6"/>
      <c r="E66" s="6"/>
      <c r="F66" s="7"/>
      <c r="G66" s="6"/>
      <c r="H66" s="6"/>
      <c r="I66" s="6"/>
      <c r="J66" s="7"/>
    </row>
    <row r="67" customFormat="false" ht="15" hidden="false" customHeight="false" outlineLevel="0" collapsed="false">
      <c r="A67" s="6"/>
      <c r="B67" s="7"/>
      <c r="C67" s="6"/>
      <c r="D67" s="6"/>
      <c r="E67" s="6"/>
      <c r="F67" s="7"/>
      <c r="G67" s="6"/>
      <c r="H67" s="6"/>
      <c r="I67" s="6"/>
      <c r="J67" s="7"/>
    </row>
    <row r="68" customFormat="false" ht="15" hidden="false" customHeight="false" outlineLevel="0" collapsed="false">
      <c r="A68" s="6"/>
      <c r="B68" s="7"/>
      <c r="C68" s="6"/>
      <c r="D68" s="6"/>
      <c r="E68" s="6"/>
      <c r="F68" s="7"/>
      <c r="G68" s="6"/>
      <c r="H68" s="6"/>
      <c r="I68" s="6"/>
      <c r="J68" s="7"/>
    </row>
    <row r="69" customFormat="false" ht="15" hidden="false" customHeight="false" outlineLevel="0" collapsed="false">
      <c r="A69" s="6"/>
      <c r="B69" s="7"/>
      <c r="C69" s="6"/>
      <c r="D69" s="6"/>
      <c r="E69" s="6"/>
      <c r="F69" s="7"/>
      <c r="G69" s="6"/>
      <c r="H69" s="6"/>
      <c r="I69" s="6"/>
      <c r="J69" s="7"/>
    </row>
    <row r="70" customFormat="false" ht="15" hidden="false" customHeight="false" outlineLevel="0" collapsed="false">
      <c r="A70" s="6"/>
      <c r="B70" s="7"/>
      <c r="C70" s="6"/>
      <c r="D70" s="6"/>
      <c r="E70" s="6"/>
      <c r="F70" s="7"/>
      <c r="G70" s="6"/>
      <c r="H70" s="6"/>
      <c r="I70" s="6"/>
      <c r="J70" s="7"/>
    </row>
    <row r="71" customFormat="false" ht="15" hidden="false" customHeight="false" outlineLevel="0" collapsed="false">
      <c r="A71" s="6"/>
      <c r="B71" s="7"/>
      <c r="C71" s="6"/>
      <c r="D71" s="6"/>
      <c r="E71" s="6"/>
      <c r="F71" s="7"/>
      <c r="G71" s="6"/>
      <c r="H71" s="6"/>
      <c r="I71" s="6"/>
      <c r="J71" s="7"/>
    </row>
    <row r="72" customFormat="false" ht="15" hidden="false" customHeight="false" outlineLevel="0" collapsed="false">
      <c r="A72" s="6"/>
      <c r="B72" s="7"/>
      <c r="C72" s="6"/>
      <c r="D72" s="6"/>
      <c r="E72" s="6"/>
      <c r="F72" s="7"/>
      <c r="G72" s="6"/>
      <c r="H72" s="6"/>
      <c r="I72" s="6"/>
      <c r="J72" s="7"/>
    </row>
    <row r="73" customFormat="false" ht="15" hidden="false" customHeight="false" outlineLevel="0" collapsed="false">
      <c r="A73" s="6"/>
      <c r="B73" s="7"/>
      <c r="C73" s="6"/>
      <c r="D73" s="6"/>
      <c r="E73" s="6"/>
      <c r="F73" s="7"/>
      <c r="G73" s="6"/>
      <c r="H73" s="6"/>
      <c r="I73" s="6"/>
      <c r="J73" s="7"/>
    </row>
    <row r="74" customFormat="false" ht="15" hidden="false" customHeight="false" outlineLevel="0" collapsed="false">
      <c r="A74" s="6"/>
      <c r="B74" s="7"/>
      <c r="C74" s="6"/>
      <c r="D74" s="6"/>
      <c r="E74" s="6"/>
      <c r="F74" s="7"/>
      <c r="G74" s="6"/>
      <c r="H74" s="6"/>
      <c r="I74" s="6"/>
      <c r="J74" s="7"/>
    </row>
    <row r="75" customFormat="false" ht="15" hidden="false" customHeight="false" outlineLevel="0" collapsed="false">
      <c r="A75" s="6"/>
      <c r="B75" s="7"/>
      <c r="C75" s="6"/>
      <c r="D75" s="6"/>
      <c r="E75" s="6"/>
      <c r="F75" s="7"/>
      <c r="G75" s="6"/>
      <c r="H75" s="6"/>
      <c r="I75" s="6"/>
      <c r="J75" s="7"/>
    </row>
    <row r="76" customFormat="false" ht="15" hidden="false" customHeight="false" outlineLevel="0" collapsed="false">
      <c r="A76" s="6"/>
      <c r="B76" s="7"/>
      <c r="C76" s="6"/>
      <c r="D76" s="6"/>
      <c r="E76" s="6"/>
      <c r="F76" s="7"/>
      <c r="G76" s="6"/>
      <c r="H76" s="6"/>
      <c r="I76" s="6"/>
      <c r="J76" s="7"/>
    </row>
    <row r="77" customFormat="false" ht="15" hidden="false" customHeight="false" outlineLevel="0" collapsed="false">
      <c r="A77" s="6"/>
      <c r="B77" s="7"/>
      <c r="C77" s="6"/>
      <c r="D77" s="6"/>
      <c r="E77" s="6"/>
      <c r="F77" s="7"/>
      <c r="G77" s="6"/>
      <c r="H77" s="6"/>
      <c r="I77" s="6"/>
      <c r="J77" s="7"/>
    </row>
    <row r="78" customFormat="false" ht="15" hidden="false" customHeight="false" outlineLevel="0" collapsed="false">
      <c r="A78" s="6"/>
      <c r="B78" s="7"/>
      <c r="C78" s="6"/>
      <c r="D78" s="6"/>
      <c r="E78" s="6"/>
      <c r="F78" s="7"/>
      <c r="G78" s="6"/>
      <c r="H78" s="6"/>
      <c r="I78" s="6"/>
      <c r="J78" s="7"/>
    </row>
    <row r="79" customFormat="false" ht="15" hidden="false" customHeight="false" outlineLevel="0" collapsed="false">
      <c r="A79" s="6"/>
      <c r="B79" s="7"/>
      <c r="C79" s="6"/>
      <c r="D79" s="6"/>
      <c r="E79" s="6"/>
      <c r="F79" s="7"/>
      <c r="G79" s="6"/>
      <c r="H79" s="6"/>
      <c r="I79" s="6"/>
      <c r="J79" s="7"/>
    </row>
    <row r="80" customFormat="false" ht="15" hidden="false" customHeight="false" outlineLevel="0" collapsed="false">
      <c r="A80" s="6"/>
      <c r="B80" s="7"/>
      <c r="C80" s="6"/>
      <c r="D80" s="6"/>
      <c r="E80" s="6"/>
      <c r="F80" s="7"/>
      <c r="G80" s="6"/>
      <c r="H80" s="6"/>
      <c r="I80" s="6"/>
      <c r="J80" s="7"/>
    </row>
    <row r="81" customFormat="false" ht="15" hidden="false" customHeight="false" outlineLevel="0" collapsed="false">
      <c r="A81" s="6"/>
      <c r="B81" s="7"/>
      <c r="C81" s="6"/>
      <c r="D81" s="6"/>
      <c r="E81" s="6"/>
      <c r="F81" s="7"/>
      <c r="G81" s="6"/>
      <c r="H81" s="6"/>
      <c r="I81" s="6"/>
      <c r="J81" s="7"/>
    </row>
    <row r="82" customFormat="false" ht="15" hidden="false" customHeight="false" outlineLevel="0" collapsed="false">
      <c r="A82" s="6"/>
      <c r="B82" s="7"/>
      <c r="C82" s="6"/>
      <c r="D82" s="6"/>
      <c r="E82" s="6"/>
      <c r="F82" s="7"/>
      <c r="G82" s="6"/>
      <c r="H82" s="6"/>
      <c r="I82" s="6"/>
      <c r="J82" s="7"/>
    </row>
    <row r="83" customFormat="false" ht="15" hidden="false" customHeight="false" outlineLevel="0" collapsed="false">
      <c r="A83" s="6"/>
      <c r="B83" s="7"/>
      <c r="C83" s="6"/>
      <c r="D83" s="6"/>
      <c r="E83" s="6"/>
      <c r="F83" s="7"/>
      <c r="G83" s="6"/>
      <c r="H83" s="6"/>
      <c r="I83" s="6"/>
      <c r="J83" s="7"/>
    </row>
    <row r="84" customFormat="false" ht="15" hidden="false" customHeight="false" outlineLevel="0" collapsed="false">
      <c r="A84" s="6"/>
      <c r="B84" s="7"/>
      <c r="C84" s="6"/>
      <c r="D84" s="6"/>
      <c r="E84" s="6"/>
      <c r="F84" s="7"/>
      <c r="G84" s="6"/>
      <c r="H84" s="6"/>
      <c r="I84" s="6"/>
      <c r="J84" s="7"/>
    </row>
    <row r="85" customFormat="false" ht="15" hidden="false" customHeight="false" outlineLevel="0" collapsed="false">
      <c r="A85" s="6"/>
      <c r="B85" s="7"/>
      <c r="C85" s="6"/>
      <c r="D85" s="6"/>
      <c r="E85" s="6"/>
      <c r="F85" s="7"/>
      <c r="G85" s="6"/>
      <c r="H85" s="6"/>
      <c r="I85" s="6"/>
      <c r="J85" s="7"/>
    </row>
    <row r="86" customFormat="false" ht="15" hidden="false" customHeight="false" outlineLevel="0" collapsed="false">
      <c r="A86" s="6"/>
      <c r="B86" s="7"/>
      <c r="C86" s="6"/>
      <c r="D86" s="6"/>
      <c r="E86" s="6"/>
      <c r="F86" s="7"/>
      <c r="G86" s="6"/>
      <c r="H86" s="6"/>
      <c r="I86" s="6"/>
      <c r="J86" s="7"/>
    </row>
    <row r="87" customFormat="false" ht="15" hidden="false" customHeight="false" outlineLevel="0" collapsed="false">
      <c r="A87" s="6"/>
      <c r="B87" s="7"/>
      <c r="C87" s="6"/>
      <c r="D87" s="6"/>
      <c r="E87" s="6"/>
      <c r="F87" s="7"/>
      <c r="G87" s="6"/>
      <c r="H87" s="6"/>
      <c r="I87" s="6"/>
      <c r="J87" s="7"/>
    </row>
    <row r="88" customFormat="false" ht="15" hidden="false" customHeight="false" outlineLevel="0" collapsed="false">
      <c r="A88" s="6"/>
      <c r="B88" s="7"/>
      <c r="C88" s="6"/>
      <c r="D88" s="6"/>
      <c r="E88" s="6"/>
      <c r="F88" s="7"/>
      <c r="G88" s="6"/>
      <c r="H88" s="6"/>
      <c r="I88" s="6"/>
      <c r="J88" s="7"/>
    </row>
    <row r="89" customFormat="false" ht="15" hidden="false" customHeight="false" outlineLevel="0" collapsed="false">
      <c r="A89" s="6"/>
      <c r="B89" s="7"/>
      <c r="C89" s="6"/>
      <c r="D89" s="6"/>
      <c r="E89" s="6"/>
      <c r="F89" s="7"/>
      <c r="G89" s="6"/>
      <c r="H89" s="6"/>
      <c r="I89" s="6"/>
      <c r="J89" s="7"/>
    </row>
    <row r="90" customFormat="false" ht="15" hidden="false" customHeight="false" outlineLevel="0" collapsed="false">
      <c r="A90" s="6"/>
      <c r="B90" s="7"/>
      <c r="C90" s="6"/>
      <c r="D90" s="6"/>
      <c r="E90" s="6"/>
      <c r="F90" s="7"/>
      <c r="G90" s="6"/>
      <c r="H90" s="6"/>
      <c r="I90" s="6"/>
      <c r="J90" s="7"/>
    </row>
    <row r="91" customFormat="false" ht="15" hidden="false" customHeight="false" outlineLevel="0" collapsed="false">
      <c r="A91" s="6"/>
      <c r="B91" s="7"/>
      <c r="C91" s="6"/>
      <c r="D91" s="6"/>
      <c r="E91" s="6"/>
      <c r="F91" s="7"/>
      <c r="G91" s="6"/>
      <c r="H91" s="6"/>
      <c r="I91" s="6"/>
      <c r="J91" s="7"/>
    </row>
    <row r="92" customFormat="false" ht="15" hidden="false" customHeight="false" outlineLevel="0" collapsed="false">
      <c r="A92" s="6"/>
      <c r="B92" s="7"/>
      <c r="C92" s="6"/>
      <c r="D92" s="6"/>
      <c r="E92" s="6"/>
      <c r="F92" s="7"/>
      <c r="G92" s="6"/>
      <c r="H92" s="6"/>
      <c r="I92" s="6"/>
      <c r="J92" s="7"/>
    </row>
    <row r="93" customFormat="false" ht="15" hidden="false" customHeight="false" outlineLevel="0" collapsed="false">
      <c r="A93" s="6"/>
      <c r="B93" s="7"/>
      <c r="C93" s="6"/>
      <c r="D93" s="6"/>
      <c r="E93" s="6"/>
      <c r="F93" s="7"/>
      <c r="G93" s="6"/>
      <c r="H93" s="6"/>
      <c r="I93" s="6"/>
      <c r="J93" s="7"/>
    </row>
    <row r="94" customFormat="false" ht="15" hidden="false" customHeight="false" outlineLevel="0" collapsed="false">
      <c r="A94" s="6"/>
      <c r="B94" s="7"/>
      <c r="C94" s="6"/>
      <c r="D94" s="6"/>
      <c r="E94" s="6"/>
      <c r="F94" s="7"/>
      <c r="G94" s="6"/>
      <c r="H94" s="6"/>
      <c r="I94" s="6"/>
      <c r="J94" s="7"/>
    </row>
    <row r="95" customFormat="false" ht="15" hidden="false" customHeight="false" outlineLevel="0" collapsed="false">
      <c r="A95" s="6"/>
      <c r="B95" s="7"/>
      <c r="C95" s="6"/>
      <c r="D95" s="6"/>
      <c r="E95" s="6"/>
      <c r="F95" s="7"/>
      <c r="G95" s="6"/>
      <c r="H95" s="6"/>
      <c r="I95" s="6"/>
      <c r="J95" s="7"/>
    </row>
    <row r="96" customFormat="false" ht="15" hidden="false" customHeight="false" outlineLevel="0" collapsed="false">
      <c r="A96" s="6"/>
      <c r="B96" s="7"/>
      <c r="C96" s="6"/>
      <c r="D96" s="6"/>
      <c r="E96" s="6"/>
      <c r="F96" s="7"/>
      <c r="G96" s="6"/>
      <c r="H96" s="6"/>
      <c r="I96" s="6"/>
      <c r="J96" s="7"/>
    </row>
    <row r="97" customFormat="false" ht="15" hidden="false" customHeight="false" outlineLevel="0" collapsed="false">
      <c r="A97" s="6"/>
      <c r="B97" s="7"/>
      <c r="C97" s="6"/>
      <c r="D97" s="6"/>
      <c r="E97" s="6"/>
      <c r="F97" s="7"/>
      <c r="G97" s="6"/>
      <c r="H97" s="6"/>
      <c r="I97" s="6"/>
      <c r="J97" s="7"/>
    </row>
    <row r="98" customFormat="false" ht="15" hidden="false" customHeight="false" outlineLevel="0" collapsed="false">
      <c r="A98" s="6"/>
      <c r="B98" s="7"/>
      <c r="C98" s="6"/>
      <c r="D98" s="6"/>
      <c r="E98" s="6"/>
      <c r="F98" s="7"/>
      <c r="G98" s="6"/>
      <c r="H98" s="6"/>
      <c r="I98" s="6"/>
      <c r="J98" s="7"/>
    </row>
    <row r="99" customFormat="false" ht="15" hidden="false" customHeight="false" outlineLevel="0" collapsed="false">
      <c r="A99" s="6"/>
      <c r="B99" s="7"/>
      <c r="C99" s="6"/>
      <c r="D99" s="6"/>
      <c r="E99" s="6"/>
      <c r="F99" s="7"/>
      <c r="G99" s="6"/>
      <c r="H99" s="6"/>
      <c r="I99" s="6"/>
      <c r="J99" s="7"/>
    </row>
    <row r="100" customFormat="false" ht="15" hidden="false" customHeight="false" outlineLevel="0" collapsed="false">
      <c r="A100" s="6"/>
      <c r="B100" s="7"/>
      <c r="C100" s="6"/>
      <c r="D100" s="6"/>
      <c r="E100" s="6"/>
      <c r="F100" s="7"/>
      <c r="G100" s="6"/>
      <c r="H100" s="6"/>
      <c r="I100" s="6"/>
      <c r="J100" s="7"/>
    </row>
    <row r="101" customFormat="false" ht="15" hidden="false" customHeight="false" outlineLevel="0" collapsed="false">
      <c r="A101" s="6"/>
      <c r="B101" s="7"/>
      <c r="C101" s="6"/>
      <c r="D101" s="6"/>
      <c r="E101" s="6"/>
      <c r="F101" s="7"/>
      <c r="G101" s="6"/>
      <c r="H101" s="6"/>
      <c r="I101" s="6"/>
      <c r="J101" s="7"/>
    </row>
    <row r="102" customFormat="false" ht="15" hidden="false" customHeight="false" outlineLevel="0" collapsed="false">
      <c r="A102" s="6"/>
      <c r="B102" s="7"/>
      <c r="C102" s="6"/>
      <c r="D102" s="6"/>
      <c r="E102" s="6"/>
      <c r="F102" s="7"/>
      <c r="G102" s="6"/>
      <c r="H102" s="6"/>
      <c r="I102" s="6"/>
      <c r="J102" s="7"/>
    </row>
    <row r="103" customFormat="false" ht="15" hidden="false" customHeight="false" outlineLevel="0" collapsed="false">
      <c r="A103" s="6"/>
      <c r="B103" s="7"/>
      <c r="C103" s="6"/>
      <c r="D103" s="6"/>
      <c r="E103" s="6"/>
      <c r="F103" s="7"/>
      <c r="G103" s="6"/>
      <c r="H103" s="6"/>
      <c r="I103" s="6"/>
      <c r="J103" s="7"/>
    </row>
    <row r="104" customFormat="false" ht="15" hidden="false" customHeight="false" outlineLevel="0" collapsed="false">
      <c r="A104" s="6"/>
      <c r="B104" s="7"/>
      <c r="C104" s="6"/>
      <c r="D104" s="6"/>
      <c r="E104" s="6"/>
      <c r="F104" s="7"/>
      <c r="G104" s="6"/>
      <c r="H104" s="6"/>
      <c r="I104" s="6"/>
      <c r="J104" s="7"/>
    </row>
    <row r="105" customFormat="false" ht="15" hidden="false" customHeight="false" outlineLevel="0" collapsed="false">
      <c r="A105" s="6"/>
      <c r="B105" s="7"/>
      <c r="C105" s="6"/>
      <c r="D105" s="6"/>
      <c r="E105" s="6"/>
      <c r="F105" s="7"/>
      <c r="G105" s="6"/>
      <c r="H105" s="6"/>
      <c r="I105" s="6"/>
      <c r="J105" s="7"/>
    </row>
    <row r="106" customFormat="false" ht="15" hidden="false" customHeight="false" outlineLevel="0" collapsed="false">
      <c r="A106" s="6"/>
      <c r="B106" s="7"/>
      <c r="C106" s="6"/>
      <c r="D106" s="6"/>
      <c r="E106" s="6"/>
      <c r="F106" s="7"/>
      <c r="G106" s="6"/>
      <c r="H106" s="6"/>
      <c r="I106" s="6"/>
      <c r="J106" s="7"/>
    </row>
    <row r="107" customFormat="false" ht="15" hidden="false" customHeight="false" outlineLevel="0" collapsed="false">
      <c r="A107" s="6"/>
      <c r="B107" s="7"/>
      <c r="C107" s="6"/>
      <c r="D107" s="6"/>
      <c r="E107" s="6"/>
      <c r="F107" s="7"/>
      <c r="G107" s="6"/>
      <c r="H107" s="6"/>
      <c r="I107" s="6"/>
      <c r="J107" s="7"/>
    </row>
    <row r="108" customFormat="false" ht="15" hidden="false" customHeight="false" outlineLevel="0" collapsed="false">
      <c r="A108" s="6"/>
      <c r="B108" s="7"/>
      <c r="C108" s="6"/>
      <c r="D108" s="6"/>
      <c r="E108" s="6"/>
      <c r="F108" s="7"/>
      <c r="G108" s="6"/>
      <c r="H108" s="6"/>
      <c r="I108" s="6"/>
      <c r="J108" s="7"/>
    </row>
    <row r="109" customFormat="false" ht="15" hidden="false" customHeight="false" outlineLevel="0" collapsed="false">
      <c r="A109" s="6"/>
      <c r="B109" s="7"/>
      <c r="C109" s="6"/>
      <c r="D109" s="6"/>
      <c r="E109" s="6"/>
      <c r="F109" s="7"/>
      <c r="G109" s="6"/>
      <c r="H109" s="6"/>
      <c r="I109" s="6"/>
      <c r="J109" s="7"/>
    </row>
    <row r="110" customFormat="false" ht="15" hidden="false" customHeight="false" outlineLevel="0" collapsed="false">
      <c r="A110" s="6"/>
      <c r="B110" s="7"/>
      <c r="C110" s="6"/>
      <c r="D110" s="6"/>
      <c r="E110" s="6"/>
      <c r="F110" s="7"/>
      <c r="G110" s="6"/>
      <c r="H110" s="6"/>
      <c r="I110" s="6"/>
      <c r="J110" s="7"/>
    </row>
    <row r="111" customFormat="false" ht="15" hidden="false" customHeight="false" outlineLevel="0" collapsed="false">
      <c r="A111" s="6"/>
      <c r="B111" s="7"/>
      <c r="C111" s="6"/>
      <c r="D111" s="6"/>
      <c r="E111" s="6"/>
      <c r="F111" s="7"/>
      <c r="G111" s="6"/>
      <c r="H111" s="6"/>
      <c r="I111" s="6"/>
      <c r="J111" s="7"/>
    </row>
    <row r="112" customFormat="false" ht="15" hidden="false" customHeight="false" outlineLevel="0" collapsed="false">
      <c r="A112" s="6"/>
      <c r="B112" s="7"/>
      <c r="C112" s="6"/>
      <c r="D112" s="6"/>
      <c r="E112" s="6"/>
      <c r="F112" s="7"/>
      <c r="G112" s="6"/>
      <c r="H112" s="6"/>
      <c r="I112" s="6"/>
      <c r="J112" s="7"/>
    </row>
    <row r="113" customFormat="false" ht="15" hidden="false" customHeight="false" outlineLevel="0" collapsed="false">
      <c r="A113" s="6"/>
      <c r="B113" s="7"/>
      <c r="C113" s="6"/>
      <c r="D113" s="6"/>
      <c r="E113" s="6"/>
      <c r="F113" s="7"/>
      <c r="G113" s="6"/>
      <c r="H113" s="6"/>
      <c r="I113" s="6"/>
      <c r="J113" s="7"/>
    </row>
    <row r="114" customFormat="false" ht="15" hidden="false" customHeight="false" outlineLevel="0" collapsed="false">
      <c r="A114" s="6"/>
      <c r="B114" s="7"/>
      <c r="C114" s="6"/>
      <c r="D114" s="6"/>
      <c r="E114" s="6"/>
      <c r="F114" s="7"/>
      <c r="G114" s="6"/>
      <c r="H114" s="6"/>
      <c r="I114" s="6"/>
      <c r="J114" s="7"/>
    </row>
    <row r="115" customFormat="false" ht="15" hidden="false" customHeight="false" outlineLevel="0" collapsed="false">
      <c r="A115" s="6"/>
      <c r="B115" s="7"/>
      <c r="C115" s="6"/>
      <c r="D115" s="6"/>
      <c r="E115" s="6"/>
      <c r="F115" s="7"/>
      <c r="G115" s="6"/>
      <c r="H115" s="6"/>
      <c r="I115" s="6"/>
      <c r="J115" s="7"/>
    </row>
    <row r="116" customFormat="false" ht="15" hidden="false" customHeight="false" outlineLevel="0" collapsed="false">
      <c r="A116" s="6"/>
      <c r="B116" s="7"/>
      <c r="C116" s="6"/>
      <c r="D116" s="6"/>
      <c r="E116" s="6"/>
      <c r="F116" s="7"/>
      <c r="G116" s="6"/>
      <c r="H116" s="6"/>
      <c r="I116" s="6"/>
      <c r="J116" s="7"/>
    </row>
    <row r="117" customFormat="false" ht="15" hidden="false" customHeight="false" outlineLevel="0" collapsed="false">
      <c r="A117" s="6"/>
      <c r="B117" s="7"/>
      <c r="C117" s="6"/>
      <c r="D117" s="6"/>
      <c r="E117" s="6"/>
      <c r="F117" s="7"/>
      <c r="G117" s="6"/>
      <c r="H117" s="6"/>
      <c r="I117" s="6"/>
      <c r="J117" s="7"/>
    </row>
    <row r="118" customFormat="false" ht="15" hidden="false" customHeight="false" outlineLevel="0" collapsed="false">
      <c r="A118" s="6"/>
      <c r="B118" s="7"/>
      <c r="C118" s="6"/>
      <c r="D118" s="6"/>
      <c r="E118" s="6"/>
      <c r="F118" s="7"/>
      <c r="G118" s="6"/>
      <c r="H118" s="6"/>
      <c r="I118" s="6"/>
      <c r="J118" s="7"/>
    </row>
    <row r="119" customFormat="false" ht="15" hidden="false" customHeight="false" outlineLevel="0" collapsed="false">
      <c r="A119" s="6"/>
      <c r="B119" s="7"/>
      <c r="C119" s="6"/>
      <c r="D119" s="6"/>
      <c r="E119" s="6"/>
      <c r="F119" s="7"/>
      <c r="G119" s="6"/>
      <c r="H119" s="6"/>
      <c r="I119" s="6"/>
      <c r="J119" s="7"/>
    </row>
    <row r="120" customFormat="false" ht="15" hidden="false" customHeight="false" outlineLevel="0" collapsed="false">
      <c r="A120" s="6"/>
      <c r="B120" s="7"/>
      <c r="C120" s="6"/>
      <c r="D120" s="6"/>
      <c r="E120" s="6"/>
      <c r="F120" s="7"/>
      <c r="G120" s="6"/>
      <c r="H120" s="6"/>
      <c r="I120" s="6"/>
      <c r="J120" s="7"/>
    </row>
    <row r="121" customFormat="false" ht="15" hidden="false" customHeight="false" outlineLevel="0" collapsed="false">
      <c r="A121" s="6"/>
      <c r="B121" s="7"/>
      <c r="C121" s="6"/>
      <c r="D121" s="6"/>
      <c r="E121" s="6"/>
      <c r="F121" s="7"/>
      <c r="G121" s="6"/>
      <c r="H121" s="6"/>
      <c r="I121" s="6"/>
      <c r="J121" s="7"/>
    </row>
    <row r="122" customFormat="false" ht="15" hidden="false" customHeight="false" outlineLevel="0" collapsed="false">
      <c r="A122" s="6"/>
      <c r="B122" s="7"/>
      <c r="C122" s="6"/>
      <c r="D122" s="6"/>
      <c r="E122" s="6"/>
      <c r="F122" s="7"/>
      <c r="G122" s="6"/>
      <c r="H122" s="6"/>
      <c r="I122" s="6"/>
      <c r="J122" s="7"/>
    </row>
    <row r="123" customFormat="false" ht="15" hidden="false" customHeight="false" outlineLevel="0" collapsed="false">
      <c r="A123" s="6"/>
      <c r="B123" s="7"/>
      <c r="C123" s="6"/>
      <c r="D123" s="6"/>
      <c r="E123" s="6"/>
      <c r="F123" s="7"/>
      <c r="G123" s="6"/>
      <c r="H123" s="6"/>
      <c r="I123" s="6"/>
      <c r="J123" s="7"/>
    </row>
    <row r="124" customFormat="false" ht="15" hidden="false" customHeight="false" outlineLevel="0" collapsed="false">
      <c r="A124" s="6"/>
      <c r="B124" s="7"/>
      <c r="C124" s="6"/>
      <c r="D124" s="6"/>
      <c r="E124" s="6"/>
      <c r="F124" s="7"/>
      <c r="G124" s="6"/>
      <c r="H124" s="6"/>
      <c r="I124" s="6"/>
      <c r="J124" s="7"/>
    </row>
    <row r="125" customFormat="false" ht="15" hidden="false" customHeight="false" outlineLevel="0" collapsed="false">
      <c r="A125" s="6"/>
      <c r="B125" s="7"/>
      <c r="C125" s="6"/>
      <c r="D125" s="6"/>
      <c r="E125" s="6"/>
      <c r="F125" s="7"/>
      <c r="G125" s="6"/>
      <c r="H125" s="6"/>
      <c r="I125" s="6"/>
      <c r="J125" s="7"/>
    </row>
    <row r="126" customFormat="false" ht="15" hidden="false" customHeight="false" outlineLevel="0" collapsed="false">
      <c r="A126" s="6"/>
      <c r="B126" s="7"/>
      <c r="C126" s="6"/>
      <c r="D126" s="6"/>
      <c r="E126" s="6"/>
      <c r="F126" s="7"/>
      <c r="G126" s="6"/>
      <c r="H126" s="6"/>
      <c r="I126" s="6"/>
      <c r="J126" s="7"/>
    </row>
    <row r="127" customFormat="false" ht="15" hidden="false" customHeight="false" outlineLevel="0" collapsed="false">
      <c r="A127" s="6"/>
      <c r="B127" s="7"/>
      <c r="C127" s="6"/>
      <c r="D127" s="6"/>
      <c r="E127" s="6"/>
      <c r="F127" s="7"/>
      <c r="G127" s="6"/>
      <c r="H127" s="6"/>
      <c r="I127" s="6"/>
      <c r="J127" s="7"/>
    </row>
    <row r="128" customFormat="false" ht="15" hidden="false" customHeight="false" outlineLevel="0" collapsed="false">
      <c r="A128" s="6"/>
      <c r="B128" s="7"/>
      <c r="C128" s="6"/>
      <c r="D128" s="6"/>
      <c r="E128" s="6"/>
      <c r="F128" s="7"/>
      <c r="G128" s="6"/>
      <c r="H128" s="6"/>
      <c r="I128" s="6"/>
      <c r="J128" s="7"/>
    </row>
    <row r="129" customFormat="false" ht="15" hidden="false" customHeight="false" outlineLevel="0" collapsed="false">
      <c r="A129" s="6"/>
      <c r="B129" s="7"/>
      <c r="C129" s="6"/>
      <c r="D129" s="6"/>
      <c r="E129" s="6"/>
      <c r="F129" s="7"/>
      <c r="G129" s="6"/>
      <c r="H129" s="6"/>
      <c r="I129" s="6"/>
      <c r="J129" s="7"/>
    </row>
    <row r="130" customFormat="false" ht="15" hidden="false" customHeight="false" outlineLevel="0" collapsed="false">
      <c r="A130" s="6"/>
      <c r="B130" s="7"/>
      <c r="C130" s="6"/>
      <c r="D130" s="6"/>
      <c r="E130" s="6"/>
      <c r="F130" s="7"/>
      <c r="G130" s="6"/>
      <c r="H130" s="6"/>
      <c r="I130" s="6"/>
      <c r="J130" s="7"/>
    </row>
    <row r="131" customFormat="false" ht="15" hidden="false" customHeight="false" outlineLevel="0" collapsed="false">
      <c r="A131" s="6"/>
      <c r="B131" s="7"/>
      <c r="C131" s="6"/>
      <c r="D131" s="6"/>
      <c r="E131" s="6"/>
      <c r="F131" s="7"/>
      <c r="G131" s="6"/>
      <c r="H131" s="6"/>
      <c r="I131" s="6"/>
      <c r="J131" s="7"/>
    </row>
    <row r="132" customFormat="false" ht="15" hidden="false" customHeight="false" outlineLevel="0" collapsed="false">
      <c r="A132" s="6"/>
      <c r="B132" s="7"/>
      <c r="C132" s="6"/>
      <c r="D132" s="6"/>
      <c r="E132" s="6"/>
      <c r="F132" s="7"/>
      <c r="G132" s="6"/>
      <c r="H132" s="6"/>
      <c r="I132" s="6"/>
      <c r="J132" s="7"/>
    </row>
    <row r="133" customFormat="false" ht="15" hidden="false" customHeight="false" outlineLevel="0" collapsed="false">
      <c r="A133" s="6"/>
      <c r="B133" s="7"/>
      <c r="C133" s="6"/>
      <c r="D133" s="6"/>
      <c r="E133" s="6"/>
      <c r="F133" s="7"/>
      <c r="G133" s="6"/>
      <c r="H133" s="6"/>
      <c r="I133" s="6"/>
      <c r="J133" s="7"/>
    </row>
    <row r="134" customFormat="false" ht="15" hidden="false" customHeight="false" outlineLevel="0" collapsed="false">
      <c r="A134" s="6"/>
      <c r="B134" s="7"/>
      <c r="C134" s="6"/>
      <c r="D134" s="6"/>
      <c r="E134" s="6"/>
      <c r="F134" s="7"/>
      <c r="G134" s="6"/>
      <c r="H134" s="6"/>
      <c r="I134" s="6"/>
      <c r="J134" s="7"/>
    </row>
    <row r="135" customFormat="false" ht="15" hidden="false" customHeight="false" outlineLevel="0" collapsed="false">
      <c r="A135" s="6"/>
      <c r="B135" s="7"/>
      <c r="C135" s="6"/>
      <c r="D135" s="6"/>
      <c r="E135" s="6"/>
      <c r="F135" s="7"/>
      <c r="G135" s="6"/>
      <c r="H135" s="6"/>
      <c r="I135" s="6"/>
      <c r="J135" s="7"/>
    </row>
    <row r="136" customFormat="false" ht="15" hidden="false" customHeight="false" outlineLevel="0" collapsed="false">
      <c r="A136" s="6"/>
      <c r="B136" s="7"/>
      <c r="C136" s="6"/>
      <c r="D136" s="6"/>
      <c r="E136" s="6"/>
      <c r="F136" s="7"/>
      <c r="G136" s="6"/>
      <c r="H136" s="6"/>
      <c r="I136" s="6"/>
      <c r="J136" s="7"/>
    </row>
    <row r="137" customFormat="false" ht="15" hidden="false" customHeight="false" outlineLevel="0" collapsed="false">
      <c r="A137" s="6"/>
      <c r="B137" s="7"/>
      <c r="C137" s="6"/>
      <c r="D137" s="6"/>
      <c r="E137" s="6"/>
      <c r="F137" s="7"/>
      <c r="G137" s="6"/>
      <c r="H137" s="6"/>
      <c r="I137" s="6"/>
      <c r="J137" s="7"/>
    </row>
    <row r="138" customFormat="false" ht="15" hidden="false" customHeight="false" outlineLevel="0" collapsed="false">
      <c r="A138" s="6"/>
      <c r="B138" s="7"/>
      <c r="C138" s="6"/>
      <c r="D138" s="6"/>
      <c r="E138" s="6"/>
      <c r="F138" s="7"/>
      <c r="G138" s="6"/>
      <c r="H138" s="6"/>
      <c r="I138" s="6"/>
      <c r="J138" s="7"/>
    </row>
    <row r="139" customFormat="false" ht="15" hidden="false" customHeight="false" outlineLevel="0" collapsed="false">
      <c r="A139" s="6"/>
      <c r="B139" s="7"/>
      <c r="C139" s="6"/>
      <c r="D139" s="6"/>
      <c r="E139" s="6"/>
      <c r="F139" s="7"/>
      <c r="G139" s="6"/>
      <c r="H139" s="6"/>
      <c r="I139" s="6"/>
      <c r="J139" s="7"/>
    </row>
    <row r="140" customFormat="false" ht="15" hidden="false" customHeight="false" outlineLevel="0" collapsed="false">
      <c r="A140" s="6"/>
      <c r="B140" s="7"/>
      <c r="C140" s="6"/>
      <c r="D140" s="6"/>
      <c r="E140" s="6"/>
      <c r="F140" s="7"/>
      <c r="G140" s="6"/>
      <c r="H140" s="6"/>
      <c r="I140" s="6"/>
      <c r="J140" s="7"/>
    </row>
    <row r="141" customFormat="false" ht="15" hidden="false" customHeight="false" outlineLevel="0" collapsed="false">
      <c r="A141" s="6"/>
      <c r="B141" s="7"/>
      <c r="C141" s="6"/>
      <c r="D141" s="6"/>
      <c r="E141" s="6"/>
      <c r="F141" s="7"/>
      <c r="G141" s="6"/>
      <c r="H141" s="6"/>
      <c r="I141" s="6"/>
      <c r="J141" s="7"/>
    </row>
    <row r="142" customFormat="false" ht="15" hidden="false" customHeight="false" outlineLevel="0" collapsed="false">
      <c r="A142" s="6"/>
      <c r="B142" s="7"/>
      <c r="C142" s="6"/>
      <c r="D142" s="6"/>
      <c r="E142" s="6"/>
      <c r="F142" s="7"/>
      <c r="G142" s="6"/>
      <c r="H142" s="6"/>
      <c r="I142" s="6"/>
      <c r="J142" s="7"/>
    </row>
    <row r="143" customFormat="false" ht="15" hidden="false" customHeight="false" outlineLevel="0" collapsed="false">
      <c r="A143" s="6"/>
      <c r="B143" s="7"/>
      <c r="C143" s="6"/>
      <c r="D143" s="6"/>
      <c r="E143" s="6"/>
      <c r="F143" s="7"/>
      <c r="G143" s="6"/>
      <c r="H143" s="6"/>
      <c r="I143" s="6"/>
      <c r="J143" s="7"/>
    </row>
    <row r="144" customFormat="false" ht="15" hidden="false" customHeight="false" outlineLevel="0" collapsed="false">
      <c r="A144" s="6"/>
      <c r="B144" s="7"/>
      <c r="C144" s="6"/>
      <c r="D144" s="6"/>
      <c r="E144" s="6"/>
      <c r="F144" s="7"/>
      <c r="G144" s="6"/>
      <c r="H144" s="6"/>
      <c r="I144" s="6"/>
      <c r="J144" s="7"/>
    </row>
    <row r="145" customFormat="false" ht="15" hidden="false" customHeight="false" outlineLevel="0" collapsed="false">
      <c r="A145" s="6"/>
      <c r="B145" s="7"/>
      <c r="C145" s="6"/>
      <c r="D145" s="6"/>
      <c r="E145" s="6"/>
      <c r="F145" s="7"/>
      <c r="G145" s="6"/>
      <c r="H145" s="6"/>
      <c r="I145" s="6"/>
      <c r="J145" s="7"/>
    </row>
    <row r="146" customFormat="false" ht="15" hidden="false" customHeight="false" outlineLevel="0" collapsed="false">
      <c r="A146" s="6"/>
      <c r="B146" s="7"/>
      <c r="C146" s="6"/>
      <c r="D146" s="6"/>
      <c r="E146" s="6"/>
      <c r="F146" s="7"/>
      <c r="G146" s="6"/>
      <c r="H146" s="6"/>
      <c r="I146" s="6"/>
      <c r="J146" s="7"/>
    </row>
    <row r="147" customFormat="false" ht="15" hidden="false" customHeight="false" outlineLevel="0" collapsed="false">
      <c r="A147" s="6"/>
      <c r="B147" s="7"/>
      <c r="C147" s="6"/>
      <c r="D147" s="6"/>
      <c r="E147" s="6"/>
      <c r="F147" s="7"/>
      <c r="G147" s="6"/>
      <c r="H147" s="6"/>
      <c r="I147" s="6"/>
      <c r="J147" s="7"/>
    </row>
    <row r="148" customFormat="false" ht="15" hidden="false" customHeight="false" outlineLevel="0" collapsed="false">
      <c r="A148" s="6"/>
      <c r="B148" s="7"/>
      <c r="C148" s="6"/>
      <c r="D148" s="6"/>
      <c r="E148" s="6"/>
      <c r="F148" s="7"/>
      <c r="G148" s="6"/>
      <c r="H148" s="6"/>
      <c r="I148" s="6"/>
      <c r="J148" s="7"/>
    </row>
    <row r="149" customFormat="false" ht="15" hidden="false" customHeight="false" outlineLevel="0" collapsed="false">
      <c r="A149" s="6"/>
      <c r="B149" s="7"/>
      <c r="C149" s="6"/>
      <c r="D149" s="6"/>
      <c r="E149" s="6"/>
      <c r="F149" s="7"/>
      <c r="G149" s="6"/>
      <c r="H149" s="6"/>
      <c r="I149" s="6"/>
      <c r="J149" s="7"/>
    </row>
    <row r="150" customFormat="false" ht="15" hidden="false" customHeight="false" outlineLevel="0" collapsed="false">
      <c r="A150" s="6"/>
      <c r="B150" s="7"/>
      <c r="C150" s="6"/>
      <c r="D150" s="6"/>
      <c r="E150" s="6"/>
      <c r="F150" s="7"/>
      <c r="G150" s="6"/>
      <c r="H150" s="6"/>
      <c r="I150" s="6"/>
      <c r="J150" s="7"/>
    </row>
    <row r="151" customFormat="false" ht="15" hidden="false" customHeight="false" outlineLevel="0" collapsed="false">
      <c r="A151" s="6"/>
      <c r="B151" s="7"/>
      <c r="C151" s="6"/>
      <c r="D151" s="6"/>
      <c r="E151" s="6"/>
      <c r="F151" s="7"/>
      <c r="G151" s="6"/>
      <c r="H151" s="6"/>
      <c r="I151" s="6"/>
      <c r="J151" s="7"/>
    </row>
    <row r="152" customFormat="false" ht="15" hidden="false" customHeight="false" outlineLevel="0" collapsed="false">
      <c r="A152" s="6"/>
      <c r="B152" s="7"/>
      <c r="C152" s="6"/>
      <c r="D152" s="6"/>
      <c r="E152" s="6"/>
      <c r="F152" s="7"/>
      <c r="G152" s="6"/>
      <c r="H152" s="6"/>
      <c r="I152" s="6"/>
      <c r="J152" s="7"/>
    </row>
    <row r="153" customFormat="false" ht="15" hidden="false" customHeight="false" outlineLevel="0" collapsed="false">
      <c r="A153" s="6"/>
      <c r="B153" s="7"/>
      <c r="C153" s="6"/>
      <c r="D153" s="6"/>
      <c r="E153" s="6"/>
      <c r="F153" s="7"/>
      <c r="G153" s="6"/>
      <c r="H153" s="6"/>
      <c r="I153" s="6"/>
      <c r="J153" s="7"/>
    </row>
    <row r="154" customFormat="false" ht="15" hidden="false" customHeight="false" outlineLevel="0" collapsed="false">
      <c r="A154" s="6"/>
      <c r="B154" s="7"/>
      <c r="C154" s="6"/>
      <c r="D154" s="6"/>
      <c r="E154" s="6"/>
      <c r="F154" s="7"/>
      <c r="G154" s="6"/>
      <c r="H154" s="6"/>
      <c r="I154" s="6"/>
      <c r="J154" s="7"/>
    </row>
    <row r="155" customFormat="false" ht="15" hidden="false" customHeight="false" outlineLevel="0" collapsed="false">
      <c r="A155" s="6"/>
      <c r="B155" s="7"/>
      <c r="C155" s="6"/>
      <c r="D155" s="6"/>
      <c r="E155" s="6"/>
      <c r="F155" s="7"/>
      <c r="G155" s="6"/>
      <c r="H155" s="6"/>
      <c r="I155" s="6"/>
      <c r="J155" s="7"/>
    </row>
    <row r="156" customFormat="false" ht="15" hidden="false" customHeight="false" outlineLevel="0" collapsed="false">
      <c r="A156" s="6"/>
      <c r="B156" s="7"/>
      <c r="C156" s="6"/>
      <c r="D156" s="6"/>
      <c r="E156" s="6"/>
      <c r="F156" s="7"/>
      <c r="G156" s="6"/>
      <c r="H156" s="6"/>
      <c r="I156" s="6"/>
      <c r="J156" s="7"/>
    </row>
    <row r="157" customFormat="false" ht="15" hidden="false" customHeight="false" outlineLevel="0" collapsed="false">
      <c r="A157" s="6"/>
      <c r="B157" s="7"/>
      <c r="C157" s="6"/>
      <c r="D157" s="6"/>
      <c r="E157" s="6"/>
      <c r="F157" s="7"/>
      <c r="G157" s="6"/>
      <c r="H157" s="6"/>
      <c r="I157" s="6"/>
      <c r="J157" s="7"/>
    </row>
    <row r="158" customFormat="false" ht="15" hidden="false" customHeight="false" outlineLevel="0" collapsed="false">
      <c r="A158" s="6"/>
      <c r="B158" s="7"/>
      <c r="C158" s="6"/>
      <c r="D158" s="6"/>
      <c r="E158" s="6"/>
      <c r="F158" s="7"/>
      <c r="G158" s="6"/>
      <c r="H158" s="6"/>
      <c r="I158" s="6"/>
      <c r="J158" s="7"/>
    </row>
    <row r="159" customFormat="false" ht="15" hidden="false" customHeight="false" outlineLevel="0" collapsed="false">
      <c r="A159" s="6"/>
      <c r="B159" s="7"/>
      <c r="C159" s="6"/>
      <c r="D159" s="6"/>
      <c r="E159" s="6"/>
      <c r="F159" s="7"/>
      <c r="G159" s="6"/>
      <c r="H159" s="6"/>
      <c r="I159" s="6"/>
      <c r="J159" s="7"/>
    </row>
    <row r="160" customFormat="false" ht="15" hidden="false" customHeight="false" outlineLevel="0" collapsed="false">
      <c r="A160" s="6"/>
      <c r="B160" s="7"/>
      <c r="C160" s="6"/>
      <c r="D160" s="6"/>
      <c r="E160" s="6"/>
      <c r="F160" s="7"/>
      <c r="G160" s="6"/>
      <c r="H160" s="6"/>
      <c r="I160" s="6"/>
      <c r="J160" s="7"/>
    </row>
    <row r="161" customFormat="false" ht="15" hidden="false" customHeight="false" outlineLevel="0" collapsed="false">
      <c r="A161" s="6"/>
      <c r="B161" s="7"/>
      <c r="C161" s="6"/>
      <c r="D161" s="6"/>
      <c r="E161" s="6"/>
      <c r="F161" s="7"/>
      <c r="G161" s="6"/>
      <c r="H161" s="6"/>
      <c r="I161" s="6"/>
      <c r="J161" s="7"/>
    </row>
    <row r="162" customFormat="false" ht="15" hidden="false" customHeight="false" outlineLevel="0" collapsed="false">
      <c r="A162" s="6"/>
      <c r="B162" s="7"/>
      <c r="C162" s="6"/>
      <c r="D162" s="6"/>
      <c r="E162" s="6"/>
      <c r="F162" s="7"/>
      <c r="G162" s="6"/>
      <c r="H162" s="6"/>
      <c r="I162" s="6"/>
      <c r="J162" s="7"/>
    </row>
    <row r="163" customFormat="false" ht="15" hidden="false" customHeight="false" outlineLevel="0" collapsed="false">
      <c r="A163" s="6"/>
      <c r="B163" s="7"/>
      <c r="C163" s="6"/>
      <c r="D163" s="6"/>
      <c r="E163" s="6"/>
      <c r="F163" s="7"/>
      <c r="G163" s="6"/>
      <c r="H163" s="6"/>
      <c r="I163" s="6"/>
      <c r="J163" s="7"/>
    </row>
    <row r="164" customFormat="false" ht="15" hidden="false" customHeight="false" outlineLevel="0" collapsed="false">
      <c r="A164" s="6"/>
      <c r="B164" s="7"/>
      <c r="C164" s="6"/>
      <c r="D164" s="6"/>
      <c r="E164" s="6"/>
      <c r="F164" s="7"/>
      <c r="G164" s="6"/>
      <c r="H164" s="6"/>
      <c r="I164" s="6"/>
      <c r="J164" s="7"/>
    </row>
    <row r="165" customFormat="false" ht="15" hidden="false" customHeight="false" outlineLevel="0" collapsed="false">
      <c r="A165" s="6"/>
      <c r="B165" s="7"/>
      <c r="C165" s="6"/>
      <c r="D165" s="6"/>
      <c r="E165" s="6"/>
      <c r="F165" s="7"/>
      <c r="G165" s="6"/>
      <c r="H165" s="6"/>
      <c r="I165" s="6"/>
      <c r="J165" s="7"/>
    </row>
    <row r="166" customFormat="false" ht="15" hidden="false" customHeight="false" outlineLevel="0" collapsed="false">
      <c r="A166" s="6"/>
      <c r="B166" s="7"/>
      <c r="C166" s="6"/>
      <c r="D166" s="6"/>
      <c r="E166" s="6"/>
      <c r="F166" s="7"/>
      <c r="G166" s="6"/>
      <c r="H166" s="6"/>
      <c r="I166" s="6"/>
      <c r="J166" s="7"/>
    </row>
    <row r="167" customFormat="false" ht="15" hidden="false" customHeight="false" outlineLevel="0" collapsed="false">
      <c r="A167" s="6"/>
      <c r="B167" s="7"/>
      <c r="C167" s="6"/>
      <c r="D167" s="6"/>
      <c r="E167" s="6"/>
      <c r="F167" s="7"/>
      <c r="G167" s="6"/>
      <c r="H167" s="6"/>
      <c r="I167" s="6"/>
      <c r="J167" s="7"/>
    </row>
    <row r="168" customFormat="false" ht="15" hidden="false" customHeight="false" outlineLevel="0" collapsed="false">
      <c r="A168" s="6"/>
      <c r="B168" s="7"/>
      <c r="C168" s="6"/>
      <c r="D168" s="6"/>
      <c r="E168" s="6"/>
      <c r="F168" s="7"/>
      <c r="G168" s="6"/>
      <c r="H168" s="6"/>
      <c r="I168" s="6"/>
      <c r="J168" s="7"/>
    </row>
    <row r="169" customFormat="false" ht="15" hidden="false" customHeight="false" outlineLevel="0" collapsed="false">
      <c r="A169" s="6"/>
      <c r="B169" s="7"/>
      <c r="C169" s="6"/>
      <c r="D169" s="6"/>
      <c r="E169" s="6"/>
      <c r="F169" s="7"/>
      <c r="G169" s="6"/>
      <c r="H169" s="6"/>
      <c r="I169" s="6"/>
      <c r="J169" s="7"/>
    </row>
    <row r="170" customFormat="false" ht="15" hidden="false" customHeight="false" outlineLevel="0" collapsed="false">
      <c r="A170" s="6"/>
      <c r="B170" s="7"/>
      <c r="C170" s="6"/>
      <c r="D170" s="6"/>
      <c r="E170" s="6"/>
      <c r="F170" s="7"/>
      <c r="G170" s="6"/>
      <c r="H170" s="6"/>
      <c r="I170" s="6"/>
      <c r="J170" s="7"/>
    </row>
    <row r="171" customFormat="false" ht="15" hidden="false" customHeight="false" outlineLevel="0" collapsed="false">
      <c r="A171" s="6"/>
      <c r="B171" s="7"/>
      <c r="C171" s="6"/>
      <c r="D171" s="6"/>
      <c r="E171" s="6"/>
      <c r="F171" s="7"/>
      <c r="G171" s="6"/>
      <c r="H171" s="6"/>
      <c r="I171" s="6"/>
      <c r="J171" s="7"/>
    </row>
    <row r="172" customFormat="false" ht="15" hidden="false" customHeight="false" outlineLevel="0" collapsed="false">
      <c r="A172" s="6"/>
      <c r="B172" s="7"/>
      <c r="C172" s="6"/>
      <c r="D172" s="6"/>
      <c r="E172" s="6"/>
      <c r="F172" s="7"/>
      <c r="G172" s="6"/>
      <c r="H172" s="6"/>
      <c r="I172" s="6"/>
      <c r="J172" s="7"/>
    </row>
    <row r="173" customFormat="false" ht="15" hidden="false" customHeight="false" outlineLevel="0" collapsed="false">
      <c r="A173" s="6"/>
      <c r="B173" s="7"/>
      <c r="C173" s="6"/>
      <c r="D173" s="6"/>
      <c r="E173" s="6"/>
      <c r="F173" s="7"/>
      <c r="G173" s="6"/>
      <c r="H173" s="6"/>
      <c r="I173" s="6"/>
      <c r="J173" s="7"/>
    </row>
    <row r="174" customFormat="false" ht="15" hidden="false" customHeight="false" outlineLevel="0" collapsed="false">
      <c r="A174" s="6"/>
      <c r="B174" s="7"/>
      <c r="C174" s="6"/>
      <c r="D174" s="6"/>
      <c r="E174" s="6"/>
      <c r="F174" s="7"/>
      <c r="G174" s="6"/>
      <c r="H174" s="6"/>
      <c r="I174" s="6"/>
      <c r="J174" s="7"/>
    </row>
    <row r="175" customFormat="false" ht="15" hidden="false" customHeight="false" outlineLevel="0" collapsed="false">
      <c r="A175" s="6"/>
      <c r="B175" s="7"/>
      <c r="C175" s="6"/>
      <c r="D175" s="6"/>
      <c r="E175" s="6"/>
      <c r="F175" s="7"/>
      <c r="G175" s="6"/>
      <c r="H175" s="6"/>
      <c r="I175" s="6"/>
      <c r="J175" s="7"/>
    </row>
    <row r="176" customFormat="false" ht="15" hidden="false" customHeight="false" outlineLevel="0" collapsed="false">
      <c r="A176" s="6"/>
      <c r="B176" s="7"/>
      <c r="C176" s="6"/>
      <c r="D176" s="6"/>
      <c r="E176" s="6"/>
      <c r="F176" s="7"/>
      <c r="G176" s="6"/>
      <c r="H176" s="6"/>
      <c r="I176" s="6"/>
      <c r="J176" s="7"/>
    </row>
    <row r="177" customFormat="false" ht="15" hidden="false" customHeight="false" outlineLevel="0" collapsed="false">
      <c r="A177" s="6"/>
      <c r="B177" s="7"/>
      <c r="C177" s="6"/>
      <c r="D177" s="6"/>
      <c r="E177" s="6"/>
      <c r="F177" s="7"/>
      <c r="G177" s="6"/>
      <c r="H177" s="6"/>
      <c r="I177" s="6"/>
      <c r="J177" s="7"/>
    </row>
    <row r="178" customFormat="false" ht="15" hidden="false" customHeight="false" outlineLevel="0" collapsed="false">
      <c r="A178" s="6"/>
      <c r="B178" s="7"/>
      <c r="C178" s="6"/>
      <c r="D178" s="6"/>
      <c r="E178" s="6"/>
      <c r="F178" s="7"/>
      <c r="G178" s="6"/>
      <c r="H178" s="6"/>
      <c r="I178" s="6"/>
      <c r="J178" s="7"/>
    </row>
    <row r="179" customFormat="false" ht="15" hidden="false" customHeight="false" outlineLevel="0" collapsed="false">
      <c r="A179" s="6"/>
      <c r="B179" s="7"/>
      <c r="C179" s="6"/>
      <c r="D179" s="6"/>
      <c r="E179" s="6"/>
      <c r="F179" s="7"/>
      <c r="G179" s="6"/>
      <c r="H179" s="6"/>
      <c r="I179" s="6"/>
      <c r="J179" s="7"/>
    </row>
    <row r="180" customFormat="false" ht="15" hidden="false" customHeight="false" outlineLevel="0" collapsed="false">
      <c r="A180" s="6"/>
      <c r="B180" s="7"/>
      <c r="C180" s="6"/>
      <c r="D180" s="6"/>
      <c r="E180" s="6"/>
      <c r="F180" s="7"/>
      <c r="G180" s="6"/>
      <c r="H180" s="6"/>
      <c r="I180" s="6"/>
      <c r="J180" s="7"/>
    </row>
    <row r="181" customFormat="false" ht="15" hidden="false" customHeight="false" outlineLevel="0" collapsed="false">
      <c r="A181" s="6"/>
      <c r="B181" s="7"/>
      <c r="C181" s="6"/>
      <c r="D181" s="6"/>
      <c r="E181" s="6"/>
      <c r="F181" s="7"/>
      <c r="G181" s="6"/>
      <c r="H181" s="6"/>
      <c r="I181" s="6"/>
      <c r="J181" s="7"/>
    </row>
    <row r="182" customFormat="false" ht="15" hidden="false" customHeight="false" outlineLevel="0" collapsed="false">
      <c r="A182" s="6"/>
      <c r="B182" s="7"/>
      <c r="C182" s="6"/>
      <c r="D182" s="6"/>
      <c r="E182" s="6"/>
      <c r="F182" s="7"/>
      <c r="G182" s="6"/>
      <c r="H182" s="6"/>
      <c r="I182" s="6"/>
      <c r="J182" s="7"/>
    </row>
    <row r="183" customFormat="false" ht="15" hidden="false" customHeight="false" outlineLevel="0" collapsed="false">
      <c r="A183" s="6"/>
      <c r="B183" s="7"/>
      <c r="C183" s="6"/>
      <c r="D183" s="6"/>
      <c r="E183" s="6"/>
      <c r="F183" s="7"/>
      <c r="G183" s="6"/>
      <c r="H183" s="6"/>
      <c r="I183" s="6"/>
      <c r="J183" s="7"/>
    </row>
    <row r="184" customFormat="false" ht="15" hidden="false" customHeight="false" outlineLevel="0" collapsed="false">
      <c r="A184" s="6"/>
      <c r="B184" s="7"/>
      <c r="C184" s="6"/>
      <c r="D184" s="6"/>
      <c r="E184" s="6"/>
      <c r="F184" s="7"/>
      <c r="G184" s="6"/>
      <c r="H184" s="6"/>
      <c r="I184" s="6"/>
      <c r="J184" s="7"/>
    </row>
    <row r="185" customFormat="false" ht="15" hidden="false" customHeight="false" outlineLevel="0" collapsed="false">
      <c r="A185" s="6"/>
      <c r="B185" s="7"/>
      <c r="C185" s="6"/>
      <c r="D185" s="6"/>
      <c r="E185" s="6"/>
      <c r="F185" s="7"/>
      <c r="G185" s="6"/>
      <c r="H185" s="6"/>
      <c r="I185" s="6"/>
      <c r="J185" s="7"/>
    </row>
    <row r="186" customFormat="false" ht="15" hidden="false" customHeight="false" outlineLevel="0" collapsed="false">
      <c r="A186" s="6"/>
      <c r="B186" s="7"/>
      <c r="C186" s="6"/>
      <c r="D186" s="6"/>
      <c r="E186" s="6"/>
      <c r="F186" s="7"/>
      <c r="G186" s="6"/>
      <c r="H186" s="6"/>
      <c r="I186" s="6"/>
      <c r="J186" s="7"/>
    </row>
    <row r="187" customFormat="false" ht="15" hidden="false" customHeight="false" outlineLevel="0" collapsed="false">
      <c r="A187" s="6"/>
      <c r="B187" s="7"/>
      <c r="C187" s="6"/>
      <c r="D187" s="6"/>
      <c r="E187" s="6"/>
      <c r="F187" s="7"/>
      <c r="G187" s="6"/>
      <c r="H187" s="6"/>
      <c r="I187" s="6"/>
      <c r="J187" s="7"/>
    </row>
    <row r="188" customFormat="false" ht="15" hidden="false" customHeight="false" outlineLevel="0" collapsed="false">
      <c r="A188" s="6"/>
      <c r="B188" s="7"/>
      <c r="C188" s="6"/>
      <c r="D188" s="6"/>
      <c r="E188" s="6"/>
      <c r="F188" s="7"/>
      <c r="G188" s="6"/>
      <c r="H188" s="6"/>
      <c r="I188" s="6"/>
      <c r="J188" s="7"/>
    </row>
    <row r="189" customFormat="false" ht="15" hidden="false" customHeight="false" outlineLevel="0" collapsed="false">
      <c r="A189" s="6"/>
      <c r="B189" s="7"/>
      <c r="C189" s="6"/>
      <c r="D189" s="6"/>
      <c r="E189" s="6"/>
      <c r="F189" s="7"/>
      <c r="G189" s="6"/>
      <c r="H189" s="6"/>
      <c r="I189" s="6"/>
      <c r="J189" s="7"/>
    </row>
    <row r="190" customFormat="false" ht="15" hidden="false" customHeight="false" outlineLevel="0" collapsed="false">
      <c r="A190" s="6"/>
      <c r="B190" s="7"/>
      <c r="C190" s="6"/>
      <c r="D190" s="6"/>
      <c r="E190" s="6"/>
      <c r="F190" s="7"/>
      <c r="G190" s="6"/>
      <c r="H190" s="6"/>
      <c r="I190" s="6"/>
      <c r="J190" s="7"/>
    </row>
    <row r="191" customFormat="false" ht="15" hidden="false" customHeight="false" outlineLevel="0" collapsed="false">
      <c r="A191" s="6"/>
      <c r="B191" s="7"/>
      <c r="C191" s="6"/>
      <c r="D191" s="6"/>
      <c r="E191" s="6"/>
      <c r="F191" s="7"/>
      <c r="G191" s="6"/>
      <c r="H191" s="6"/>
      <c r="I191" s="6"/>
      <c r="J191" s="7"/>
    </row>
    <row r="192" customFormat="false" ht="15" hidden="false" customHeight="false" outlineLevel="0" collapsed="false">
      <c r="A192" s="6"/>
      <c r="B192" s="7"/>
      <c r="C192" s="6"/>
      <c r="D192" s="6"/>
      <c r="E192" s="6"/>
      <c r="F192" s="7"/>
      <c r="G192" s="6"/>
      <c r="H192" s="6"/>
      <c r="I192" s="6"/>
      <c r="J192" s="7"/>
    </row>
    <row r="193" customFormat="false" ht="15" hidden="false" customHeight="false" outlineLevel="0" collapsed="false">
      <c r="A193" s="6"/>
      <c r="B193" s="7"/>
      <c r="C193" s="6"/>
      <c r="D193" s="6"/>
      <c r="E193" s="6"/>
      <c r="F193" s="7"/>
      <c r="G193" s="6"/>
      <c r="H193" s="6"/>
      <c r="I193" s="6"/>
      <c r="J193" s="7"/>
    </row>
    <row r="194" customFormat="false" ht="15" hidden="false" customHeight="false" outlineLevel="0" collapsed="false">
      <c r="A194" s="6"/>
      <c r="B194" s="7"/>
      <c r="C194" s="6"/>
      <c r="D194" s="6"/>
      <c r="E194" s="6"/>
      <c r="F194" s="7"/>
      <c r="G194" s="6"/>
      <c r="H194" s="6"/>
      <c r="I194" s="6"/>
      <c r="J194" s="7"/>
    </row>
    <row r="195" customFormat="false" ht="15" hidden="false" customHeight="false" outlineLevel="0" collapsed="false">
      <c r="A195" s="6"/>
      <c r="B195" s="7"/>
      <c r="C195" s="6"/>
      <c r="D195" s="6"/>
      <c r="E195" s="6"/>
      <c r="F195" s="7"/>
      <c r="G195" s="6"/>
      <c r="H195" s="6"/>
      <c r="I195" s="6"/>
      <c r="J195" s="7"/>
    </row>
    <row r="196" customFormat="false" ht="15" hidden="false" customHeight="false" outlineLevel="0" collapsed="false">
      <c r="A196" s="6"/>
      <c r="B196" s="7"/>
      <c r="C196" s="6"/>
      <c r="D196" s="6"/>
      <c r="E196" s="6"/>
      <c r="F196" s="7"/>
      <c r="G196" s="6"/>
      <c r="H196" s="6"/>
      <c r="I196" s="6"/>
      <c r="J196" s="7"/>
    </row>
    <row r="197" customFormat="false" ht="15" hidden="false" customHeight="false" outlineLevel="0" collapsed="false">
      <c r="A197" s="6"/>
      <c r="B197" s="7"/>
      <c r="C197" s="6"/>
      <c r="D197" s="6"/>
      <c r="E197" s="6"/>
      <c r="F197" s="7"/>
      <c r="G197" s="6"/>
      <c r="H197" s="6"/>
      <c r="I197" s="6"/>
      <c r="J197" s="7"/>
    </row>
    <row r="198" customFormat="false" ht="15" hidden="false" customHeight="false" outlineLevel="0" collapsed="false">
      <c r="A198" s="6"/>
      <c r="B198" s="7"/>
      <c r="C198" s="6"/>
      <c r="D198" s="6"/>
      <c r="E198" s="6"/>
      <c r="F198" s="7"/>
      <c r="G198" s="6"/>
      <c r="H198" s="6"/>
      <c r="I198" s="6"/>
      <c r="J198" s="7"/>
    </row>
    <row r="199" customFormat="false" ht="15" hidden="false" customHeight="false" outlineLevel="0" collapsed="false">
      <c r="A199" s="6"/>
      <c r="B199" s="7"/>
      <c r="C199" s="6"/>
      <c r="D199" s="6"/>
      <c r="E199" s="6"/>
      <c r="F199" s="7"/>
      <c r="G199" s="6"/>
      <c r="H199" s="6"/>
      <c r="I199" s="6"/>
      <c r="J199" s="7"/>
    </row>
    <row r="200" customFormat="false" ht="15" hidden="false" customHeight="false" outlineLevel="0" collapsed="false">
      <c r="A200" s="6"/>
      <c r="B200" s="7"/>
      <c r="C200" s="6"/>
      <c r="D200" s="6"/>
      <c r="E200" s="6"/>
      <c r="F200" s="7"/>
      <c r="G200" s="6"/>
      <c r="H200" s="6"/>
      <c r="I200" s="6"/>
      <c r="J200" s="7"/>
    </row>
    <row r="201" customFormat="false" ht="15" hidden="false" customHeight="false" outlineLevel="0" collapsed="false">
      <c r="A201" s="6"/>
      <c r="B201" s="7"/>
      <c r="C201" s="6"/>
      <c r="D201" s="6"/>
      <c r="E201" s="6"/>
      <c r="F201" s="7"/>
      <c r="G201" s="6"/>
      <c r="H201" s="6"/>
      <c r="I201" s="6"/>
      <c r="J201" s="7"/>
    </row>
    <row r="202" customFormat="false" ht="15" hidden="false" customHeight="false" outlineLevel="0" collapsed="false">
      <c r="A202" s="6"/>
      <c r="B202" s="7"/>
      <c r="C202" s="6"/>
      <c r="D202" s="6"/>
      <c r="E202" s="6"/>
      <c r="F202" s="7"/>
      <c r="G202" s="6"/>
      <c r="H202" s="6"/>
      <c r="I202" s="6"/>
      <c r="J202" s="7"/>
    </row>
    <row r="203" customFormat="false" ht="15" hidden="false" customHeight="false" outlineLevel="0" collapsed="false">
      <c r="A203" s="6"/>
      <c r="B203" s="7"/>
      <c r="C203" s="6"/>
      <c r="D203" s="6"/>
      <c r="E203" s="6"/>
      <c r="F203" s="7"/>
      <c r="G203" s="6"/>
      <c r="H203" s="6"/>
      <c r="I203" s="6"/>
      <c r="J203" s="7"/>
    </row>
    <row r="204" customFormat="false" ht="15" hidden="false" customHeight="false" outlineLevel="0" collapsed="false">
      <c r="A204" s="6"/>
      <c r="B204" s="7"/>
      <c r="C204" s="6"/>
      <c r="D204" s="6"/>
      <c r="E204" s="6"/>
      <c r="F204" s="7"/>
      <c r="G204" s="6"/>
      <c r="H204" s="6"/>
      <c r="I204" s="6"/>
      <c r="J204" s="7"/>
    </row>
    <row r="205" customFormat="false" ht="15" hidden="false" customHeight="false" outlineLevel="0" collapsed="false">
      <c r="A205" s="6"/>
      <c r="B205" s="7"/>
      <c r="C205" s="6"/>
      <c r="D205" s="6"/>
      <c r="E205" s="6"/>
      <c r="F205" s="7"/>
      <c r="G205" s="6"/>
      <c r="H205" s="6"/>
      <c r="I205" s="6"/>
      <c r="J205" s="7"/>
    </row>
    <row r="206" customFormat="false" ht="15" hidden="false" customHeight="false" outlineLevel="0" collapsed="false">
      <c r="A206" s="6"/>
      <c r="B206" s="7"/>
      <c r="C206" s="6"/>
      <c r="D206" s="6"/>
      <c r="E206" s="6"/>
      <c r="F206" s="7"/>
      <c r="G206" s="6"/>
      <c r="H206" s="6"/>
      <c r="I206" s="6"/>
      <c r="J206" s="7"/>
    </row>
    <row r="207" customFormat="false" ht="15" hidden="false" customHeight="false" outlineLevel="0" collapsed="false">
      <c r="A207" s="6"/>
      <c r="B207" s="7"/>
      <c r="C207" s="6"/>
      <c r="D207" s="6"/>
      <c r="E207" s="6"/>
      <c r="F207" s="7"/>
      <c r="G207" s="6"/>
      <c r="H207" s="6"/>
      <c r="I207" s="6"/>
      <c r="J207" s="7"/>
    </row>
    <row r="208" customFormat="false" ht="15" hidden="false" customHeight="false" outlineLevel="0" collapsed="false">
      <c r="A208" s="6"/>
      <c r="B208" s="7"/>
      <c r="C208" s="6"/>
      <c r="D208" s="6"/>
      <c r="E208" s="6"/>
      <c r="F208" s="7"/>
      <c r="G208" s="6"/>
      <c r="H208" s="6"/>
      <c r="I208" s="6"/>
      <c r="J208" s="7"/>
    </row>
    <row r="209" customFormat="false" ht="15" hidden="false" customHeight="false" outlineLevel="0" collapsed="false">
      <c r="A209" s="6"/>
      <c r="B209" s="7"/>
      <c r="C209" s="6"/>
      <c r="D209" s="6"/>
      <c r="E209" s="6"/>
      <c r="F209" s="7"/>
      <c r="G209" s="6"/>
      <c r="H209" s="6"/>
      <c r="I209" s="6"/>
      <c r="J209" s="7"/>
    </row>
    <row r="210" customFormat="false" ht="15" hidden="false" customHeight="false" outlineLevel="0" collapsed="false">
      <c r="A210" s="6"/>
      <c r="B210" s="7"/>
      <c r="C210" s="6"/>
      <c r="D210" s="6"/>
      <c r="E210" s="6"/>
      <c r="F210" s="7"/>
      <c r="G210" s="6"/>
      <c r="H210" s="6"/>
      <c r="I210" s="6"/>
      <c r="J210" s="7"/>
    </row>
    <row r="211" customFormat="false" ht="15" hidden="false" customHeight="false" outlineLevel="0" collapsed="false">
      <c r="A211" s="6"/>
      <c r="B211" s="7"/>
      <c r="C211" s="6"/>
      <c r="D211" s="6"/>
      <c r="E211" s="6"/>
      <c r="F211" s="7"/>
      <c r="G211" s="6"/>
      <c r="H211" s="6"/>
      <c r="I211" s="6"/>
      <c r="J211" s="7"/>
    </row>
    <row r="212" customFormat="false" ht="15" hidden="false" customHeight="false" outlineLevel="0" collapsed="false">
      <c r="A212" s="6"/>
      <c r="B212" s="7"/>
      <c r="C212" s="6"/>
      <c r="D212" s="6"/>
      <c r="E212" s="6"/>
      <c r="F212" s="7"/>
      <c r="G212" s="6"/>
      <c r="H212" s="6"/>
      <c r="I212" s="6"/>
      <c r="J212" s="7"/>
    </row>
    <row r="213" customFormat="false" ht="15" hidden="false" customHeight="false" outlineLevel="0" collapsed="false">
      <c r="A213" s="6"/>
      <c r="B213" s="7"/>
      <c r="C213" s="6"/>
      <c r="D213" s="6"/>
      <c r="E213" s="6"/>
      <c r="F213" s="7"/>
      <c r="G213" s="6"/>
      <c r="H213" s="6"/>
      <c r="I213" s="6"/>
      <c r="J213" s="7"/>
    </row>
    <row r="214" customFormat="false" ht="15" hidden="false" customHeight="false" outlineLevel="0" collapsed="false">
      <c r="A214" s="6"/>
      <c r="B214" s="7"/>
      <c r="C214" s="6"/>
      <c r="D214" s="6"/>
      <c r="E214" s="6"/>
      <c r="F214" s="7"/>
      <c r="G214" s="6"/>
      <c r="H214" s="6"/>
      <c r="I214" s="6"/>
      <c r="J214" s="7"/>
    </row>
    <row r="215" customFormat="false" ht="15" hidden="false" customHeight="false" outlineLevel="0" collapsed="false">
      <c r="A215" s="6"/>
      <c r="B215" s="7"/>
      <c r="C215" s="6"/>
      <c r="D215" s="6"/>
      <c r="E215" s="6"/>
      <c r="F215" s="7"/>
      <c r="G215" s="6"/>
      <c r="H215" s="6"/>
      <c r="I215" s="6"/>
      <c r="J215" s="7"/>
    </row>
    <row r="216" customFormat="false" ht="15" hidden="false" customHeight="false" outlineLevel="0" collapsed="false">
      <c r="A216" s="6"/>
      <c r="B216" s="7"/>
      <c r="C216" s="6"/>
      <c r="D216" s="6"/>
      <c r="E216" s="6"/>
      <c r="F216" s="7"/>
      <c r="G216" s="6"/>
      <c r="H216" s="6"/>
      <c r="I216" s="6"/>
      <c r="J216" s="7"/>
    </row>
    <row r="217" customFormat="false" ht="15" hidden="false" customHeight="false" outlineLevel="0" collapsed="false">
      <c r="A217" s="6"/>
      <c r="B217" s="7"/>
      <c r="C217" s="6"/>
      <c r="D217" s="6"/>
      <c r="E217" s="6"/>
      <c r="F217" s="7"/>
      <c r="G217" s="6"/>
      <c r="H217" s="6"/>
      <c r="I217" s="6"/>
      <c r="J217" s="7"/>
    </row>
    <row r="218" customFormat="false" ht="15" hidden="false" customHeight="false" outlineLevel="0" collapsed="false">
      <c r="A218" s="6"/>
      <c r="B218" s="7"/>
      <c r="C218" s="6"/>
      <c r="D218" s="6"/>
      <c r="E218" s="6"/>
      <c r="F218" s="7"/>
      <c r="G218" s="6"/>
      <c r="H218" s="6"/>
      <c r="I218" s="6"/>
      <c r="J218" s="7"/>
    </row>
    <row r="219" customFormat="false" ht="15" hidden="false" customHeight="false" outlineLevel="0" collapsed="false">
      <c r="A219" s="6"/>
      <c r="B219" s="7"/>
      <c r="C219" s="6"/>
      <c r="D219" s="6"/>
      <c r="E219" s="6"/>
      <c r="F219" s="7"/>
      <c r="G219" s="6"/>
      <c r="H219" s="6"/>
      <c r="I219" s="6"/>
      <c r="J219" s="7"/>
    </row>
    <row r="220" customFormat="false" ht="15" hidden="false" customHeight="false" outlineLevel="0" collapsed="false">
      <c r="A220" s="6"/>
      <c r="B220" s="7"/>
      <c r="C220" s="6"/>
      <c r="D220" s="6"/>
      <c r="E220" s="6"/>
      <c r="F220" s="7"/>
      <c r="G220" s="6"/>
      <c r="H220" s="6"/>
      <c r="I220" s="6"/>
      <c r="J220" s="7"/>
    </row>
    <row r="221" customFormat="false" ht="15" hidden="false" customHeight="false" outlineLevel="0" collapsed="false">
      <c r="A221" s="6"/>
      <c r="B221" s="7"/>
      <c r="C221" s="6"/>
      <c r="D221" s="6"/>
      <c r="E221" s="6"/>
      <c r="F221" s="7"/>
      <c r="G221" s="6"/>
      <c r="H221" s="6"/>
      <c r="I221" s="6"/>
      <c r="J221" s="7"/>
    </row>
    <row r="222" customFormat="false" ht="15" hidden="false" customHeight="false" outlineLevel="0" collapsed="false">
      <c r="A222" s="6"/>
      <c r="B222" s="7"/>
      <c r="C222" s="6"/>
      <c r="D222" s="6"/>
      <c r="E222" s="6"/>
      <c r="F222" s="7"/>
      <c r="G222" s="6"/>
      <c r="H222" s="6"/>
      <c r="I222" s="6"/>
      <c r="J222" s="7"/>
    </row>
    <row r="223" customFormat="false" ht="15" hidden="false" customHeight="false" outlineLevel="0" collapsed="false">
      <c r="A223" s="6"/>
      <c r="B223" s="7"/>
      <c r="C223" s="6"/>
      <c r="D223" s="6"/>
      <c r="E223" s="6"/>
      <c r="F223" s="7"/>
      <c r="G223" s="6"/>
      <c r="H223" s="6"/>
      <c r="I223" s="6"/>
      <c r="J223" s="7"/>
    </row>
    <row r="224" customFormat="false" ht="15" hidden="false" customHeight="false" outlineLevel="0" collapsed="false">
      <c r="A224" s="6"/>
      <c r="B224" s="7"/>
      <c r="C224" s="6"/>
      <c r="D224" s="6"/>
      <c r="E224" s="6"/>
      <c r="F224" s="7"/>
      <c r="G224" s="6"/>
      <c r="H224" s="6"/>
      <c r="I224" s="6"/>
      <c r="J224" s="7"/>
    </row>
    <row r="225" customFormat="false" ht="15" hidden="false" customHeight="false" outlineLevel="0" collapsed="false">
      <c r="A225" s="6"/>
      <c r="B225" s="7"/>
      <c r="C225" s="6"/>
      <c r="D225" s="6"/>
      <c r="E225" s="6"/>
      <c r="F225" s="7"/>
      <c r="G225" s="6"/>
      <c r="H225" s="6"/>
      <c r="I225" s="6"/>
      <c r="J225" s="7"/>
    </row>
    <row r="226" customFormat="false" ht="15" hidden="false" customHeight="false" outlineLevel="0" collapsed="false">
      <c r="A226" s="6"/>
      <c r="B226" s="7"/>
      <c r="C226" s="6"/>
      <c r="D226" s="6"/>
      <c r="E226" s="6"/>
      <c r="F226" s="7"/>
      <c r="G226" s="6"/>
      <c r="H226" s="6"/>
      <c r="I226" s="6"/>
      <c r="J226" s="7"/>
    </row>
    <row r="227" customFormat="false" ht="15" hidden="false" customHeight="false" outlineLevel="0" collapsed="false">
      <c r="A227" s="6"/>
      <c r="B227" s="7"/>
      <c r="C227" s="6"/>
      <c r="D227" s="6"/>
      <c r="E227" s="6"/>
      <c r="F227" s="7"/>
      <c r="G227" s="6"/>
      <c r="H227" s="6"/>
      <c r="I227" s="6"/>
      <c r="J227" s="7"/>
    </row>
    <row r="228" customFormat="false" ht="15" hidden="false" customHeight="false" outlineLevel="0" collapsed="false">
      <c r="A228" s="6"/>
      <c r="B228" s="7"/>
      <c r="C228" s="6"/>
      <c r="D228" s="6"/>
      <c r="E228" s="6"/>
      <c r="F228" s="7"/>
      <c r="G228" s="6"/>
      <c r="H228" s="6"/>
      <c r="I228" s="6"/>
      <c r="J228" s="7"/>
    </row>
    <row r="229" customFormat="false" ht="15" hidden="false" customHeight="false" outlineLevel="0" collapsed="false">
      <c r="A229" s="6"/>
      <c r="B229" s="7"/>
      <c r="C229" s="6"/>
      <c r="D229" s="6"/>
      <c r="E229" s="6"/>
      <c r="F229" s="7"/>
      <c r="G229" s="6"/>
      <c r="H229" s="6"/>
      <c r="I229" s="6"/>
      <c r="J229" s="7"/>
    </row>
    <row r="230" customFormat="false" ht="15" hidden="false" customHeight="false" outlineLevel="0" collapsed="false">
      <c r="A230" s="6"/>
      <c r="B230" s="7"/>
      <c r="C230" s="6"/>
      <c r="D230" s="6"/>
      <c r="E230" s="6"/>
      <c r="F230" s="7"/>
      <c r="G230" s="6"/>
      <c r="H230" s="6"/>
      <c r="I230" s="6"/>
      <c r="J230" s="7"/>
    </row>
    <row r="231" customFormat="false" ht="15" hidden="false" customHeight="false" outlineLevel="0" collapsed="false">
      <c r="A231" s="6"/>
      <c r="B231" s="7"/>
      <c r="C231" s="6"/>
      <c r="D231" s="6"/>
      <c r="E231" s="6"/>
      <c r="F231" s="7"/>
      <c r="G231" s="6"/>
      <c r="H231" s="6"/>
      <c r="I231" s="6"/>
      <c r="J231" s="7"/>
    </row>
    <row r="232" customFormat="false" ht="15" hidden="false" customHeight="false" outlineLevel="0" collapsed="false">
      <c r="A232" s="6"/>
      <c r="B232" s="7"/>
      <c r="C232" s="6"/>
      <c r="D232" s="6"/>
      <c r="E232" s="6"/>
      <c r="F232" s="7"/>
      <c r="G232" s="6"/>
      <c r="H232" s="6"/>
      <c r="I232" s="6"/>
      <c r="J232" s="7"/>
    </row>
    <row r="233" customFormat="false" ht="15" hidden="false" customHeight="false" outlineLevel="0" collapsed="false">
      <c r="A233" s="6"/>
      <c r="B233" s="7"/>
      <c r="C233" s="6"/>
      <c r="D233" s="6"/>
      <c r="E233" s="6"/>
      <c r="F233" s="7"/>
      <c r="G233" s="6"/>
      <c r="H233" s="6"/>
      <c r="I233" s="6"/>
      <c r="J233" s="7"/>
    </row>
    <row r="234" customFormat="false" ht="15" hidden="false" customHeight="false" outlineLevel="0" collapsed="false">
      <c r="A234" s="6"/>
      <c r="B234" s="7"/>
      <c r="C234" s="6"/>
      <c r="D234" s="6"/>
      <c r="E234" s="6"/>
      <c r="F234" s="7"/>
      <c r="G234" s="6"/>
      <c r="H234" s="6"/>
      <c r="I234" s="6"/>
      <c r="J234" s="7"/>
    </row>
    <row r="235" customFormat="false" ht="15" hidden="false" customHeight="false" outlineLevel="0" collapsed="false">
      <c r="A235" s="6"/>
      <c r="B235" s="7"/>
      <c r="C235" s="6"/>
      <c r="D235" s="6"/>
      <c r="E235" s="6"/>
      <c r="F235" s="7"/>
      <c r="G235" s="6"/>
      <c r="H235" s="6"/>
      <c r="I235" s="6"/>
      <c r="J235" s="7"/>
    </row>
    <row r="236" customFormat="false" ht="15" hidden="false" customHeight="false" outlineLevel="0" collapsed="false">
      <c r="A236" s="6"/>
      <c r="B236" s="7"/>
      <c r="C236" s="6"/>
      <c r="D236" s="6"/>
      <c r="E236" s="6"/>
      <c r="F236" s="7"/>
      <c r="G236" s="6"/>
      <c r="H236" s="6"/>
      <c r="I236" s="6"/>
      <c r="J236" s="7"/>
    </row>
    <row r="237" customFormat="false" ht="15" hidden="false" customHeight="false" outlineLevel="0" collapsed="false">
      <c r="A237" s="6"/>
      <c r="B237" s="7"/>
      <c r="C237" s="6"/>
      <c r="D237" s="6"/>
      <c r="E237" s="6"/>
      <c r="F237" s="7"/>
      <c r="G237" s="6"/>
      <c r="H237" s="6"/>
      <c r="I237" s="6"/>
      <c r="J237" s="7"/>
    </row>
    <row r="238" customFormat="false" ht="15" hidden="false" customHeight="false" outlineLevel="0" collapsed="false">
      <c r="A238" s="6"/>
      <c r="B238" s="7"/>
      <c r="C238" s="6"/>
      <c r="D238" s="6"/>
      <c r="E238" s="6"/>
      <c r="F238" s="7"/>
      <c r="G238" s="6"/>
      <c r="H238" s="6"/>
      <c r="I238" s="6"/>
      <c r="J238" s="7"/>
    </row>
    <row r="239" customFormat="false" ht="15" hidden="false" customHeight="false" outlineLevel="0" collapsed="false">
      <c r="A239" s="6"/>
      <c r="B239" s="7"/>
      <c r="C239" s="6"/>
      <c r="D239" s="6"/>
      <c r="E239" s="6"/>
      <c r="F239" s="7"/>
      <c r="G239" s="6"/>
      <c r="H239" s="6"/>
      <c r="I239" s="6"/>
      <c r="J239" s="7"/>
    </row>
    <row r="240" customFormat="false" ht="15" hidden="false" customHeight="false" outlineLevel="0" collapsed="false">
      <c r="A240" s="6"/>
      <c r="B240" s="7"/>
      <c r="C240" s="6"/>
      <c r="D240" s="6"/>
      <c r="E240" s="6"/>
      <c r="F240" s="7"/>
      <c r="G240" s="6"/>
      <c r="H240" s="6"/>
      <c r="I240" s="6"/>
      <c r="J240" s="7"/>
    </row>
    <row r="241" customFormat="false" ht="15" hidden="false" customHeight="false" outlineLevel="0" collapsed="false">
      <c r="A241" s="6"/>
      <c r="B241" s="7"/>
      <c r="C241" s="6"/>
      <c r="D241" s="6"/>
      <c r="E241" s="6"/>
      <c r="F241" s="7"/>
      <c r="G241" s="6"/>
      <c r="H241" s="6"/>
      <c r="I241" s="6"/>
      <c r="J241" s="7"/>
    </row>
    <row r="242" customFormat="false" ht="15" hidden="false" customHeight="false" outlineLevel="0" collapsed="false">
      <c r="A242" s="6"/>
      <c r="B242" s="7"/>
      <c r="C242" s="6"/>
      <c r="D242" s="6"/>
      <c r="E242" s="6"/>
      <c r="F242" s="7"/>
      <c r="G242" s="6"/>
      <c r="H242" s="6"/>
      <c r="I242" s="6"/>
      <c r="J242" s="7"/>
    </row>
    <row r="243" customFormat="false" ht="15" hidden="false" customHeight="false" outlineLevel="0" collapsed="false">
      <c r="A243" s="6"/>
      <c r="B243" s="7"/>
      <c r="C243" s="6"/>
      <c r="D243" s="6"/>
      <c r="E243" s="6"/>
      <c r="F243" s="7"/>
      <c r="G243" s="6"/>
      <c r="H243" s="6"/>
      <c r="I243" s="6"/>
      <c r="J243" s="7"/>
    </row>
    <row r="244" customFormat="false" ht="15" hidden="false" customHeight="false" outlineLevel="0" collapsed="false">
      <c r="A244" s="6"/>
      <c r="B244" s="7"/>
      <c r="C244" s="6"/>
      <c r="D244" s="6"/>
      <c r="E244" s="6"/>
      <c r="F244" s="7"/>
      <c r="G244" s="6"/>
      <c r="H244" s="6"/>
      <c r="I244" s="6"/>
      <c r="J244" s="7"/>
    </row>
    <row r="245" customFormat="false" ht="15" hidden="false" customHeight="false" outlineLevel="0" collapsed="false">
      <c r="A245" s="6"/>
      <c r="B245" s="7"/>
      <c r="C245" s="6"/>
      <c r="D245" s="6"/>
      <c r="E245" s="6"/>
      <c r="F245" s="7"/>
      <c r="G245" s="6"/>
      <c r="H245" s="6"/>
      <c r="I245" s="6"/>
      <c r="J245" s="7"/>
    </row>
    <row r="246" customFormat="false" ht="15" hidden="false" customHeight="false" outlineLevel="0" collapsed="false">
      <c r="A246" s="6"/>
      <c r="B246" s="7"/>
      <c r="C246" s="6"/>
      <c r="D246" s="6"/>
      <c r="E246" s="6"/>
      <c r="F246" s="7"/>
      <c r="G246" s="6"/>
      <c r="H246" s="6"/>
      <c r="I246" s="6"/>
      <c r="J246" s="7"/>
    </row>
    <row r="247" customFormat="false" ht="15" hidden="false" customHeight="false" outlineLevel="0" collapsed="false">
      <c r="A247" s="6"/>
      <c r="B247" s="7"/>
      <c r="C247" s="6"/>
      <c r="D247" s="6"/>
      <c r="E247" s="6"/>
      <c r="F247" s="7"/>
      <c r="G247" s="6"/>
      <c r="H247" s="6"/>
      <c r="I247" s="6"/>
      <c r="J247" s="7"/>
    </row>
    <row r="248" customFormat="false" ht="15" hidden="false" customHeight="false" outlineLevel="0" collapsed="false">
      <c r="A248" s="6"/>
      <c r="B248" s="7"/>
      <c r="C248" s="6"/>
      <c r="D248" s="6"/>
      <c r="E248" s="6"/>
      <c r="F248" s="7"/>
      <c r="G248" s="6"/>
      <c r="H248" s="6"/>
      <c r="I248" s="6"/>
      <c r="J248" s="7"/>
    </row>
    <row r="249" customFormat="false" ht="15" hidden="false" customHeight="false" outlineLevel="0" collapsed="false">
      <c r="A249" s="6"/>
      <c r="B249" s="7"/>
      <c r="C249" s="6"/>
      <c r="D249" s="6"/>
      <c r="E249" s="6"/>
      <c r="F249" s="7"/>
      <c r="G249" s="6"/>
      <c r="H249" s="6"/>
      <c r="I249" s="6"/>
      <c r="J249" s="7"/>
    </row>
    <row r="250" customFormat="false" ht="15" hidden="false" customHeight="false" outlineLevel="0" collapsed="false">
      <c r="A250" s="6"/>
      <c r="B250" s="7"/>
      <c r="C250" s="6"/>
      <c r="D250" s="6"/>
      <c r="E250" s="6"/>
      <c r="F250" s="7"/>
      <c r="G250" s="6"/>
      <c r="H250" s="6"/>
      <c r="I250" s="6"/>
      <c r="J250" s="7"/>
    </row>
    <row r="251" customFormat="false" ht="15" hidden="false" customHeight="false" outlineLevel="0" collapsed="false">
      <c r="A251" s="6"/>
      <c r="B251" s="7"/>
      <c r="C251" s="6"/>
      <c r="D251" s="6"/>
      <c r="E251" s="6"/>
      <c r="F251" s="7"/>
      <c r="G251" s="6"/>
      <c r="H251" s="6"/>
      <c r="I251" s="6"/>
      <c r="J251" s="7"/>
    </row>
    <row r="252" customFormat="false" ht="15" hidden="false" customHeight="false" outlineLevel="0" collapsed="false">
      <c r="A252" s="6"/>
      <c r="B252" s="7"/>
      <c r="C252" s="6"/>
      <c r="D252" s="6"/>
      <c r="E252" s="6"/>
      <c r="F252" s="7"/>
      <c r="G252" s="6"/>
      <c r="H252" s="6"/>
      <c r="I252" s="6"/>
      <c r="J252" s="7"/>
    </row>
    <row r="253" customFormat="false" ht="15" hidden="false" customHeight="false" outlineLevel="0" collapsed="false">
      <c r="A253" s="6"/>
      <c r="B253" s="7"/>
      <c r="C253" s="6"/>
      <c r="D253" s="6"/>
      <c r="E253" s="6"/>
      <c r="F253" s="7"/>
      <c r="G253" s="6"/>
      <c r="H253" s="6"/>
      <c r="I253" s="6"/>
      <c r="J253" s="7"/>
    </row>
    <row r="254" customFormat="false" ht="15" hidden="false" customHeight="false" outlineLevel="0" collapsed="false">
      <c r="A254" s="6"/>
      <c r="B254" s="7"/>
      <c r="C254" s="6"/>
      <c r="D254" s="6"/>
      <c r="E254" s="6"/>
      <c r="F254" s="7"/>
      <c r="G254" s="6"/>
      <c r="H254" s="6"/>
      <c r="I254" s="6"/>
      <c r="J254" s="7"/>
    </row>
    <row r="255" customFormat="false" ht="15" hidden="false" customHeight="false" outlineLevel="0" collapsed="false">
      <c r="A255" s="6"/>
      <c r="B255" s="7"/>
      <c r="C255" s="6"/>
      <c r="D255" s="6"/>
      <c r="E255" s="6"/>
      <c r="F255" s="7"/>
      <c r="G255" s="6"/>
      <c r="H255" s="6"/>
      <c r="I255" s="6"/>
      <c r="J255" s="7"/>
    </row>
    <row r="256" customFormat="false" ht="15" hidden="false" customHeight="false" outlineLevel="0" collapsed="false">
      <c r="A256" s="6"/>
      <c r="B256" s="7"/>
      <c r="C256" s="6"/>
      <c r="D256" s="6"/>
      <c r="E256" s="6"/>
      <c r="F256" s="7"/>
      <c r="G256" s="6"/>
      <c r="H256" s="6"/>
      <c r="I256" s="6"/>
      <c r="J256" s="7"/>
    </row>
    <row r="257" customFormat="false" ht="15" hidden="false" customHeight="false" outlineLevel="0" collapsed="false">
      <c r="A257" s="6"/>
      <c r="B257" s="7"/>
      <c r="C257" s="6"/>
      <c r="D257" s="6"/>
      <c r="E257" s="6"/>
      <c r="F257" s="7"/>
      <c r="G257" s="6"/>
      <c r="H257" s="6"/>
      <c r="I257" s="6"/>
      <c r="J257" s="7"/>
    </row>
    <row r="258" customFormat="false" ht="15" hidden="false" customHeight="false" outlineLevel="0" collapsed="false">
      <c r="A258" s="6"/>
      <c r="B258" s="7"/>
      <c r="C258" s="6"/>
      <c r="D258" s="6"/>
      <c r="E258" s="6"/>
      <c r="F258" s="7"/>
      <c r="G258" s="6"/>
      <c r="H258" s="6"/>
      <c r="I258" s="6"/>
      <c r="J258" s="7"/>
    </row>
    <row r="259" customFormat="false" ht="15" hidden="false" customHeight="false" outlineLevel="0" collapsed="false">
      <c r="A259" s="6"/>
      <c r="B259" s="7"/>
      <c r="C259" s="6"/>
      <c r="D259" s="6"/>
      <c r="E259" s="6"/>
      <c r="F259" s="7"/>
      <c r="G259" s="6"/>
      <c r="H259" s="6"/>
      <c r="I259" s="6"/>
      <c r="J259" s="7"/>
    </row>
    <row r="260" customFormat="false" ht="15" hidden="false" customHeight="false" outlineLevel="0" collapsed="false">
      <c r="A260" s="6"/>
      <c r="B260" s="7"/>
      <c r="C260" s="6"/>
      <c r="D260" s="6"/>
      <c r="E260" s="6"/>
      <c r="F260" s="7"/>
      <c r="G260" s="6"/>
      <c r="H260" s="6"/>
      <c r="I260" s="6"/>
      <c r="J260" s="7"/>
    </row>
    <row r="261" customFormat="false" ht="15" hidden="false" customHeight="false" outlineLevel="0" collapsed="false">
      <c r="A261" s="6"/>
      <c r="B261" s="7"/>
      <c r="C261" s="6"/>
      <c r="D261" s="6"/>
      <c r="E261" s="6"/>
      <c r="F261" s="7"/>
      <c r="G261" s="6"/>
      <c r="H261" s="6"/>
      <c r="I261" s="6"/>
      <c r="J261" s="7"/>
    </row>
    <row r="262" customFormat="false" ht="15" hidden="false" customHeight="false" outlineLevel="0" collapsed="false">
      <c r="A262" s="6"/>
      <c r="B262" s="7"/>
      <c r="C262" s="6"/>
      <c r="D262" s="6"/>
      <c r="E262" s="6"/>
      <c r="F262" s="7"/>
      <c r="G262" s="6"/>
      <c r="H262" s="6"/>
      <c r="I262" s="6"/>
      <c r="J262" s="7"/>
    </row>
    <row r="263" customFormat="false" ht="15" hidden="false" customHeight="false" outlineLevel="0" collapsed="false">
      <c r="A263" s="6"/>
      <c r="B263" s="7"/>
      <c r="C263" s="6"/>
      <c r="D263" s="6"/>
      <c r="E263" s="6"/>
      <c r="F263" s="7"/>
      <c r="G263" s="6"/>
      <c r="H263" s="6"/>
      <c r="I263" s="6"/>
      <c r="J263" s="7"/>
    </row>
    <row r="264" customFormat="false" ht="15" hidden="false" customHeight="false" outlineLevel="0" collapsed="false">
      <c r="A264" s="6"/>
      <c r="B264" s="7"/>
      <c r="C264" s="6"/>
      <c r="D264" s="6"/>
      <c r="E264" s="6"/>
      <c r="F264" s="7"/>
      <c r="G264" s="6"/>
      <c r="H264" s="6"/>
      <c r="I264" s="6"/>
      <c r="J264" s="7"/>
    </row>
    <row r="265" customFormat="false" ht="15" hidden="false" customHeight="false" outlineLevel="0" collapsed="false">
      <c r="A265" s="6"/>
      <c r="B265" s="7"/>
      <c r="C265" s="6"/>
      <c r="D265" s="6"/>
      <c r="E265" s="6"/>
      <c r="F265" s="7"/>
      <c r="G265" s="6"/>
      <c r="H265" s="6"/>
      <c r="I265" s="6"/>
      <c r="J265" s="7"/>
    </row>
    <row r="266" customFormat="false" ht="15" hidden="false" customHeight="false" outlineLevel="0" collapsed="false">
      <c r="A266" s="6"/>
      <c r="B266" s="7"/>
      <c r="C266" s="6"/>
      <c r="D266" s="6"/>
      <c r="E266" s="6"/>
      <c r="F266" s="7"/>
      <c r="G266" s="6"/>
      <c r="H266" s="6"/>
      <c r="I266" s="6"/>
      <c r="J266" s="7"/>
    </row>
    <row r="267" customFormat="false" ht="15" hidden="false" customHeight="false" outlineLevel="0" collapsed="false">
      <c r="A267" s="6"/>
      <c r="B267" s="7"/>
      <c r="C267" s="6"/>
      <c r="D267" s="6"/>
      <c r="E267" s="6"/>
      <c r="F267" s="7"/>
      <c r="G267" s="6"/>
      <c r="H267" s="6"/>
      <c r="I267" s="6"/>
      <c r="J267" s="7"/>
    </row>
    <row r="268" customFormat="false" ht="15" hidden="false" customHeight="false" outlineLevel="0" collapsed="false">
      <c r="A268" s="6"/>
      <c r="B268" s="7"/>
      <c r="C268" s="6"/>
      <c r="D268" s="6"/>
      <c r="E268" s="6"/>
      <c r="F268" s="7"/>
      <c r="G268" s="6"/>
      <c r="H268" s="6"/>
      <c r="I268" s="6"/>
      <c r="J268" s="7"/>
    </row>
    <row r="269" customFormat="false" ht="15" hidden="false" customHeight="false" outlineLevel="0" collapsed="false">
      <c r="A269" s="6"/>
      <c r="B269" s="7"/>
      <c r="C269" s="6"/>
      <c r="D269" s="6"/>
      <c r="E269" s="6"/>
      <c r="F269" s="7"/>
      <c r="G269" s="6"/>
      <c r="H269" s="6"/>
      <c r="I269" s="6"/>
      <c r="J269" s="7"/>
    </row>
    <row r="270" customFormat="false" ht="15" hidden="false" customHeight="false" outlineLevel="0" collapsed="false">
      <c r="A270" s="6"/>
      <c r="B270" s="7"/>
      <c r="C270" s="6"/>
      <c r="D270" s="6"/>
      <c r="E270" s="6"/>
      <c r="F270" s="7"/>
      <c r="G270" s="6"/>
      <c r="H270" s="6"/>
      <c r="I270" s="6"/>
      <c r="J270" s="7"/>
    </row>
    <row r="271" customFormat="false" ht="15" hidden="false" customHeight="false" outlineLevel="0" collapsed="false">
      <c r="A271" s="6"/>
      <c r="B271" s="7"/>
      <c r="C271" s="6"/>
      <c r="D271" s="6"/>
      <c r="E271" s="6"/>
      <c r="F271" s="7"/>
      <c r="G271" s="6"/>
      <c r="H271" s="6"/>
      <c r="I271" s="6"/>
      <c r="J271" s="7"/>
    </row>
    <row r="272" customFormat="false" ht="15" hidden="false" customHeight="false" outlineLevel="0" collapsed="false">
      <c r="A272" s="6"/>
      <c r="B272" s="7"/>
      <c r="C272" s="6"/>
      <c r="D272" s="6"/>
      <c r="E272" s="6"/>
      <c r="F272" s="7"/>
      <c r="G272" s="6"/>
      <c r="H272" s="6"/>
      <c r="I272" s="6"/>
      <c r="J272" s="7"/>
    </row>
    <row r="273" customFormat="false" ht="15" hidden="false" customHeight="false" outlineLevel="0" collapsed="false">
      <c r="A273" s="6"/>
      <c r="B273" s="7"/>
      <c r="C273" s="6"/>
      <c r="D273" s="6"/>
      <c r="E273" s="6"/>
      <c r="F273" s="7"/>
      <c r="G273" s="6"/>
      <c r="H273" s="6"/>
      <c r="I273" s="6"/>
      <c r="J273" s="7"/>
    </row>
    <row r="274" customFormat="false" ht="15" hidden="false" customHeight="false" outlineLevel="0" collapsed="false">
      <c r="A274" s="6"/>
      <c r="B274" s="7"/>
      <c r="C274" s="6"/>
      <c r="D274" s="6"/>
      <c r="E274" s="6"/>
      <c r="F274" s="7"/>
      <c r="G274" s="6"/>
      <c r="H274" s="6"/>
      <c r="I274" s="6"/>
      <c r="J274" s="7"/>
    </row>
    <row r="275" customFormat="false" ht="15" hidden="false" customHeight="false" outlineLevel="0" collapsed="false">
      <c r="A275" s="6"/>
      <c r="B275" s="7"/>
      <c r="C275" s="6"/>
      <c r="D275" s="6"/>
      <c r="E275" s="6"/>
      <c r="F275" s="7"/>
      <c r="G275" s="6"/>
      <c r="H275" s="6"/>
      <c r="I275" s="6"/>
      <c r="J275" s="7"/>
    </row>
    <row r="276" customFormat="false" ht="15" hidden="false" customHeight="false" outlineLevel="0" collapsed="false">
      <c r="A276" s="6"/>
      <c r="B276" s="7"/>
      <c r="C276" s="6"/>
      <c r="D276" s="6"/>
      <c r="E276" s="6"/>
      <c r="F276" s="7"/>
      <c r="G276" s="6"/>
      <c r="H276" s="6"/>
      <c r="I276" s="6"/>
      <c r="J276" s="7"/>
    </row>
    <row r="277" customFormat="false" ht="15" hidden="false" customHeight="false" outlineLevel="0" collapsed="false">
      <c r="A277" s="6"/>
      <c r="B277" s="7"/>
      <c r="C277" s="6"/>
      <c r="D277" s="6"/>
      <c r="E277" s="6"/>
      <c r="F277" s="7"/>
      <c r="G277" s="6"/>
      <c r="H277" s="6"/>
      <c r="I277" s="6"/>
      <c r="J277" s="7"/>
    </row>
    <row r="278" customFormat="false" ht="15" hidden="false" customHeight="false" outlineLevel="0" collapsed="false">
      <c r="A278" s="6"/>
      <c r="B278" s="7"/>
      <c r="C278" s="6"/>
      <c r="D278" s="6"/>
      <c r="E278" s="6"/>
      <c r="F278" s="7"/>
      <c r="G278" s="6"/>
      <c r="H278" s="6"/>
      <c r="I278" s="6"/>
      <c r="J278" s="7"/>
    </row>
    <row r="279" customFormat="false" ht="15" hidden="false" customHeight="false" outlineLevel="0" collapsed="false">
      <c r="A279" s="6"/>
      <c r="B279" s="7"/>
      <c r="C279" s="6"/>
      <c r="D279" s="6"/>
      <c r="E279" s="6"/>
      <c r="F279" s="7"/>
      <c r="G279" s="6"/>
      <c r="H279" s="6"/>
      <c r="I279" s="6"/>
      <c r="J279" s="7"/>
    </row>
    <row r="280" customFormat="false" ht="15" hidden="false" customHeight="false" outlineLevel="0" collapsed="false">
      <c r="A280" s="6"/>
      <c r="B280" s="7"/>
      <c r="C280" s="6"/>
      <c r="D280" s="6"/>
      <c r="E280" s="6"/>
      <c r="F280" s="7"/>
      <c r="G280" s="6"/>
      <c r="H280" s="6"/>
      <c r="I280" s="6"/>
      <c r="J280" s="7"/>
    </row>
    <row r="281" customFormat="false" ht="15" hidden="false" customHeight="false" outlineLevel="0" collapsed="false">
      <c r="A281" s="6"/>
      <c r="B281" s="7"/>
      <c r="C281" s="6"/>
      <c r="D281" s="6"/>
      <c r="E281" s="6"/>
      <c r="F281" s="7"/>
      <c r="G281" s="6"/>
      <c r="H281" s="6"/>
      <c r="I281" s="6"/>
      <c r="J281" s="7"/>
    </row>
    <row r="282" customFormat="false" ht="15" hidden="false" customHeight="false" outlineLevel="0" collapsed="false">
      <c r="A282" s="6"/>
      <c r="B282" s="7"/>
      <c r="C282" s="6"/>
      <c r="D282" s="6"/>
      <c r="E282" s="6"/>
      <c r="F282" s="7"/>
      <c r="G282" s="6"/>
      <c r="H282" s="6"/>
      <c r="I282" s="6"/>
      <c r="J282" s="7"/>
    </row>
    <row r="283" customFormat="false" ht="15" hidden="false" customHeight="false" outlineLevel="0" collapsed="false">
      <c r="A283" s="6"/>
      <c r="B283" s="7"/>
      <c r="C283" s="6"/>
      <c r="D283" s="6"/>
      <c r="E283" s="6"/>
      <c r="F283" s="7"/>
      <c r="G283" s="6"/>
      <c r="H283" s="6"/>
      <c r="I283" s="6"/>
      <c r="J283" s="7"/>
    </row>
    <row r="284" customFormat="false" ht="15" hidden="false" customHeight="false" outlineLevel="0" collapsed="false">
      <c r="A284" s="6"/>
      <c r="B284" s="7"/>
      <c r="C284" s="6"/>
      <c r="D284" s="6"/>
      <c r="E284" s="6"/>
      <c r="F284" s="7"/>
      <c r="G284" s="6"/>
      <c r="H284" s="6"/>
      <c r="I284" s="6"/>
      <c r="J284" s="7"/>
    </row>
    <row r="285" customFormat="false" ht="15" hidden="false" customHeight="false" outlineLevel="0" collapsed="false">
      <c r="A285" s="6"/>
      <c r="B285" s="7"/>
      <c r="C285" s="6"/>
      <c r="D285" s="6"/>
      <c r="E285" s="6"/>
      <c r="F285" s="7"/>
      <c r="G285" s="6"/>
      <c r="H285" s="6"/>
      <c r="I285" s="6"/>
      <c r="J285" s="7"/>
    </row>
    <row r="286" customFormat="false" ht="15" hidden="false" customHeight="false" outlineLevel="0" collapsed="false">
      <c r="A286" s="6"/>
      <c r="B286" s="7"/>
      <c r="C286" s="6"/>
      <c r="D286" s="6"/>
      <c r="E286" s="6"/>
      <c r="F286" s="7"/>
      <c r="G286" s="6"/>
      <c r="H286" s="6"/>
      <c r="I286" s="6"/>
      <c r="J286" s="7"/>
    </row>
    <row r="287" customFormat="false" ht="15" hidden="false" customHeight="false" outlineLevel="0" collapsed="false">
      <c r="A287" s="6"/>
      <c r="B287" s="7"/>
      <c r="C287" s="6"/>
      <c r="D287" s="6"/>
      <c r="E287" s="6"/>
      <c r="F287" s="7"/>
      <c r="G287" s="6"/>
      <c r="H287" s="6"/>
      <c r="I287" s="6"/>
      <c r="J287" s="7"/>
    </row>
    <row r="288" customFormat="false" ht="15" hidden="false" customHeight="false" outlineLevel="0" collapsed="false">
      <c r="A288" s="6"/>
      <c r="B288" s="7"/>
      <c r="C288" s="6"/>
      <c r="D288" s="6"/>
      <c r="E288" s="6"/>
      <c r="F288" s="7"/>
      <c r="G288" s="6"/>
      <c r="H288" s="6"/>
      <c r="I288" s="6"/>
      <c r="J288" s="7"/>
    </row>
    <row r="289" customFormat="false" ht="15" hidden="false" customHeight="false" outlineLevel="0" collapsed="false">
      <c r="A289" s="6"/>
      <c r="B289" s="7"/>
      <c r="C289" s="6"/>
      <c r="D289" s="6"/>
      <c r="E289" s="6"/>
      <c r="F289" s="7"/>
      <c r="G289" s="6"/>
      <c r="H289" s="6"/>
      <c r="I289" s="6"/>
      <c r="J289" s="7"/>
    </row>
    <row r="290" customFormat="false" ht="15" hidden="false" customHeight="false" outlineLevel="0" collapsed="false">
      <c r="A290" s="6"/>
      <c r="B290" s="7"/>
      <c r="C290" s="6"/>
      <c r="D290" s="6"/>
      <c r="E290" s="6"/>
      <c r="F290" s="7"/>
      <c r="G290" s="6"/>
      <c r="H290" s="6"/>
      <c r="I290" s="6"/>
      <c r="J290" s="7"/>
    </row>
    <row r="291" customFormat="false" ht="15" hidden="false" customHeight="false" outlineLevel="0" collapsed="false">
      <c r="A291" s="6"/>
      <c r="B291" s="7"/>
      <c r="C291" s="6"/>
      <c r="D291" s="6"/>
      <c r="E291" s="6"/>
      <c r="F291" s="7"/>
      <c r="G291" s="6"/>
      <c r="H291" s="6"/>
      <c r="I291" s="6"/>
      <c r="J291" s="7"/>
    </row>
    <row r="292" customFormat="false" ht="15" hidden="false" customHeight="false" outlineLevel="0" collapsed="false">
      <c r="A292" s="6"/>
      <c r="B292" s="7"/>
      <c r="C292" s="6"/>
      <c r="D292" s="6"/>
      <c r="E292" s="6"/>
      <c r="F292" s="7"/>
      <c r="G292" s="6"/>
      <c r="H292" s="6"/>
      <c r="I292" s="6"/>
      <c r="J292" s="7"/>
    </row>
    <row r="293" customFormat="false" ht="15" hidden="false" customHeight="false" outlineLevel="0" collapsed="false">
      <c r="A293" s="6"/>
      <c r="B293" s="7"/>
      <c r="C293" s="6"/>
      <c r="D293" s="6"/>
      <c r="E293" s="6"/>
      <c r="F293" s="7"/>
      <c r="G293" s="6"/>
      <c r="H293" s="6"/>
      <c r="I293" s="6"/>
      <c r="J293" s="7"/>
    </row>
    <row r="294" customFormat="false" ht="15" hidden="false" customHeight="false" outlineLevel="0" collapsed="false">
      <c r="A294" s="6"/>
      <c r="B294" s="7"/>
      <c r="C294" s="6"/>
      <c r="D294" s="6"/>
      <c r="E294" s="6"/>
      <c r="F294" s="7"/>
      <c r="G294" s="6"/>
      <c r="H294" s="6"/>
      <c r="I294" s="6"/>
      <c r="J294" s="7"/>
    </row>
    <row r="295" customFormat="false" ht="15" hidden="false" customHeight="false" outlineLevel="0" collapsed="false">
      <c r="A295" s="6"/>
      <c r="B295" s="7"/>
      <c r="C295" s="6"/>
      <c r="D295" s="6"/>
      <c r="E295" s="6"/>
      <c r="F295" s="7"/>
      <c r="G295" s="6"/>
      <c r="H295" s="6"/>
      <c r="I295" s="6"/>
      <c r="J295" s="7"/>
    </row>
    <row r="296" customFormat="false" ht="15" hidden="false" customHeight="false" outlineLevel="0" collapsed="false">
      <c r="A296" s="6"/>
      <c r="B296" s="7"/>
      <c r="C296" s="6"/>
      <c r="D296" s="6"/>
      <c r="E296" s="6"/>
      <c r="F296" s="7"/>
      <c r="G296" s="6"/>
      <c r="H296" s="6"/>
      <c r="I296" s="6"/>
      <c r="J296" s="7"/>
    </row>
    <row r="297" customFormat="false" ht="15" hidden="false" customHeight="false" outlineLevel="0" collapsed="false">
      <c r="A297" s="6"/>
      <c r="B297" s="7"/>
      <c r="C297" s="6"/>
      <c r="D297" s="6"/>
      <c r="E297" s="6"/>
      <c r="F297" s="7"/>
      <c r="G297" s="6"/>
      <c r="H297" s="6"/>
      <c r="I297" s="6"/>
      <c r="J297" s="7"/>
    </row>
    <row r="298" customFormat="false" ht="15" hidden="false" customHeight="false" outlineLevel="0" collapsed="false">
      <c r="A298" s="6"/>
      <c r="B298" s="7"/>
      <c r="C298" s="6"/>
      <c r="D298" s="6"/>
      <c r="E298" s="6"/>
      <c r="F298" s="7"/>
      <c r="G298" s="6"/>
      <c r="H298" s="6"/>
      <c r="I298" s="6"/>
      <c r="J298" s="7"/>
    </row>
    <row r="299" customFormat="false" ht="15" hidden="false" customHeight="false" outlineLevel="0" collapsed="false">
      <c r="A299" s="6"/>
      <c r="B299" s="7"/>
      <c r="C299" s="6"/>
      <c r="D299" s="6"/>
      <c r="E299" s="6"/>
      <c r="F299" s="7"/>
      <c r="G299" s="6"/>
      <c r="H299" s="6"/>
      <c r="I299" s="6"/>
      <c r="J299" s="7"/>
    </row>
    <row r="300" customFormat="false" ht="15" hidden="false" customHeight="false" outlineLevel="0" collapsed="false">
      <c r="A300" s="6"/>
      <c r="B300" s="7"/>
      <c r="C300" s="6"/>
      <c r="D300" s="6"/>
      <c r="E300" s="6"/>
      <c r="F300" s="7"/>
      <c r="G300" s="6"/>
      <c r="H300" s="6"/>
      <c r="I300" s="6"/>
      <c r="J300" s="7"/>
    </row>
    <row r="301" customFormat="false" ht="15" hidden="false" customHeight="false" outlineLevel="0" collapsed="false">
      <c r="A301" s="6"/>
      <c r="B301" s="7"/>
      <c r="C301" s="6"/>
      <c r="D301" s="6"/>
      <c r="E301" s="6"/>
      <c r="F301" s="7"/>
      <c r="G301" s="6"/>
      <c r="H301" s="6"/>
      <c r="I301" s="6"/>
      <c r="J301" s="7"/>
    </row>
    <row r="302" customFormat="false" ht="15" hidden="false" customHeight="false" outlineLevel="0" collapsed="false">
      <c r="A302" s="6"/>
      <c r="B302" s="7"/>
      <c r="C302" s="6"/>
      <c r="D302" s="6"/>
      <c r="E302" s="6"/>
      <c r="F302" s="7"/>
      <c r="G302" s="6"/>
      <c r="H302" s="6"/>
      <c r="I302" s="6"/>
      <c r="J302" s="7"/>
    </row>
    <row r="303" customFormat="false" ht="15" hidden="false" customHeight="false" outlineLevel="0" collapsed="false">
      <c r="A303" s="6"/>
      <c r="B303" s="7"/>
      <c r="C303" s="6"/>
      <c r="D303" s="6"/>
      <c r="E303" s="6"/>
      <c r="F303" s="7"/>
      <c r="G303" s="6"/>
      <c r="H303" s="6"/>
      <c r="I303" s="6"/>
      <c r="J303" s="7"/>
    </row>
    <row r="304" customFormat="false" ht="15" hidden="false" customHeight="false" outlineLevel="0" collapsed="false">
      <c r="A304" s="6"/>
      <c r="B304" s="7"/>
      <c r="C304" s="6"/>
      <c r="D304" s="6"/>
      <c r="E304" s="6"/>
      <c r="F304" s="7"/>
      <c r="G304" s="6"/>
      <c r="H304" s="6"/>
      <c r="I304" s="6"/>
      <c r="J304" s="7"/>
    </row>
    <row r="305" customFormat="false" ht="15" hidden="false" customHeight="false" outlineLevel="0" collapsed="false">
      <c r="A305" s="6"/>
      <c r="B305" s="7"/>
      <c r="C305" s="6"/>
      <c r="D305" s="6"/>
      <c r="E305" s="6"/>
      <c r="F305" s="7"/>
      <c r="G305" s="6"/>
      <c r="H305" s="6"/>
      <c r="I305" s="6"/>
      <c r="J305" s="7"/>
    </row>
    <row r="306" customFormat="false" ht="15" hidden="false" customHeight="false" outlineLevel="0" collapsed="false">
      <c r="A306" s="6"/>
      <c r="B306" s="7"/>
      <c r="C306" s="6"/>
      <c r="D306" s="6"/>
      <c r="E306" s="6"/>
      <c r="F306" s="7"/>
      <c r="G306" s="6"/>
      <c r="H306" s="6"/>
      <c r="I306" s="6"/>
      <c r="J306" s="7"/>
    </row>
    <row r="307" customFormat="false" ht="15" hidden="false" customHeight="false" outlineLevel="0" collapsed="false">
      <c r="A307" s="6"/>
      <c r="B307" s="7"/>
      <c r="C307" s="6"/>
      <c r="D307" s="6"/>
      <c r="E307" s="6"/>
      <c r="F307" s="7"/>
      <c r="G307" s="6"/>
      <c r="H307" s="6"/>
      <c r="I307" s="6"/>
      <c r="J307" s="7"/>
    </row>
    <row r="308" customFormat="false" ht="15" hidden="false" customHeight="false" outlineLevel="0" collapsed="false">
      <c r="A308" s="6"/>
      <c r="B308" s="7"/>
      <c r="C308" s="6"/>
      <c r="D308" s="6"/>
      <c r="E308" s="6"/>
      <c r="F308" s="7"/>
      <c r="G308" s="6"/>
      <c r="H308" s="6"/>
      <c r="I308" s="6"/>
      <c r="J308" s="7"/>
    </row>
    <row r="309" customFormat="false" ht="15" hidden="false" customHeight="false" outlineLevel="0" collapsed="false">
      <c r="A309" s="6"/>
      <c r="B309" s="7"/>
      <c r="C309" s="6"/>
      <c r="D309" s="6"/>
      <c r="E309" s="6"/>
      <c r="F309" s="7"/>
      <c r="G309" s="6"/>
      <c r="H309" s="6"/>
      <c r="I309" s="6"/>
      <c r="J309" s="7"/>
    </row>
    <row r="310" customFormat="false" ht="15" hidden="false" customHeight="false" outlineLevel="0" collapsed="false">
      <c r="A310" s="6"/>
      <c r="B310" s="7"/>
      <c r="C310" s="6"/>
      <c r="D310" s="6"/>
      <c r="E310" s="6"/>
      <c r="F310" s="7"/>
      <c r="G310" s="6"/>
      <c r="H310" s="6"/>
      <c r="I310" s="6"/>
      <c r="J310" s="7"/>
    </row>
    <row r="311" customFormat="false" ht="15" hidden="false" customHeight="false" outlineLevel="0" collapsed="false">
      <c r="A311" s="6"/>
      <c r="B311" s="7"/>
      <c r="C311" s="6"/>
      <c r="D311" s="6"/>
      <c r="E311" s="6"/>
      <c r="F311" s="7"/>
      <c r="G311" s="6"/>
      <c r="H311" s="6"/>
      <c r="I311" s="6"/>
      <c r="J311" s="7"/>
    </row>
    <row r="312" customFormat="false" ht="15" hidden="false" customHeight="false" outlineLevel="0" collapsed="false">
      <c r="A312" s="6"/>
      <c r="B312" s="7"/>
      <c r="C312" s="6"/>
      <c r="D312" s="6"/>
      <c r="E312" s="6"/>
      <c r="F312" s="7"/>
      <c r="G312" s="6"/>
      <c r="H312" s="6"/>
      <c r="I312" s="6"/>
      <c r="J312" s="7"/>
    </row>
    <row r="313" customFormat="false" ht="15" hidden="false" customHeight="false" outlineLevel="0" collapsed="false">
      <c r="A313" s="6"/>
      <c r="B313" s="7"/>
      <c r="C313" s="6"/>
      <c r="D313" s="6"/>
      <c r="E313" s="6"/>
      <c r="F313" s="7"/>
      <c r="G313" s="6"/>
      <c r="H313" s="6"/>
      <c r="I313" s="6"/>
      <c r="J313" s="7"/>
    </row>
    <row r="314" customFormat="false" ht="15" hidden="false" customHeight="false" outlineLevel="0" collapsed="false">
      <c r="A314" s="6"/>
      <c r="B314" s="7"/>
      <c r="C314" s="6"/>
      <c r="D314" s="6"/>
      <c r="E314" s="6"/>
      <c r="F314" s="7"/>
      <c r="G314" s="6"/>
      <c r="H314" s="6"/>
      <c r="I314" s="6"/>
      <c r="J314" s="7"/>
    </row>
    <row r="315" customFormat="false" ht="15" hidden="false" customHeight="false" outlineLevel="0" collapsed="false">
      <c r="A315" s="6"/>
      <c r="B315" s="7"/>
      <c r="C315" s="6"/>
      <c r="D315" s="6"/>
      <c r="E315" s="6"/>
      <c r="F315" s="7"/>
      <c r="G315" s="6"/>
      <c r="H315" s="6"/>
      <c r="I315" s="6"/>
      <c r="J315" s="7"/>
    </row>
    <row r="316" customFormat="false" ht="15" hidden="false" customHeight="false" outlineLevel="0" collapsed="false">
      <c r="A316" s="6"/>
      <c r="B316" s="7"/>
      <c r="C316" s="6"/>
      <c r="D316" s="6"/>
      <c r="E316" s="6"/>
      <c r="F316" s="7"/>
      <c r="G316" s="6"/>
      <c r="H316" s="6"/>
      <c r="I316" s="6"/>
      <c r="J316" s="7"/>
    </row>
    <row r="317" customFormat="false" ht="15" hidden="false" customHeight="false" outlineLevel="0" collapsed="false">
      <c r="A317" s="6"/>
      <c r="B317" s="7"/>
      <c r="C317" s="6"/>
      <c r="D317" s="6"/>
      <c r="E317" s="6"/>
      <c r="F317" s="7"/>
      <c r="G317" s="6"/>
      <c r="H317" s="6"/>
      <c r="I317" s="6"/>
      <c r="J317" s="7"/>
    </row>
    <row r="318" customFormat="false" ht="15" hidden="false" customHeight="false" outlineLevel="0" collapsed="false">
      <c r="A318" s="6"/>
      <c r="B318" s="7"/>
      <c r="C318" s="6"/>
      <c r="D318" s="6"/>
      <c r="E318" s="6"/>
      <c r="F318" s="7"/>
      <c r="G318" s="6"/>
      <c r="H318" s="6"/>
      <c r="I318" s="6"/>
      <c r="J318" s="7"/>
    </row>
    <row r="319" customFormat="false" ht="15" hidden="false" customHeight="false" outlineLevel="0" collapsed="false">
      <c r="A319" s="6"/>
      <c r="B319" s="7"/>
      <c r="C319" s="6"/>
      <c r="D319" s="6"/>
      <c r="E319" s="6"/>
      <c r="F319" s="7"/>
      <c r="G319" s="6"/>
      <c r="H319" s="6"/>
      <c r="I319" s="6"/>
      <c r="J319" s="7"/>
    </row>
    <row r="320" customFormat="false" ht="15" hidden="false" customHeight="false" outlineLevel="0" collapsed="false">
      <c r="A320" s="6"/>
      <c r="B320" s="7"/>
      <c r="C320" s="6"/>
      <c r="D320" s="6"/>
      <c r="E320" s="6"/>
      <c r="F320" s="7"/>
      <c r="G320" s="6"/>
      <c r="H320" s="6"/>
      <c r="I320" s="6"/>
      <c r="J320" s="7"/>
    </row>
    <row r="321" customFormat="false" ht="15" hidden="false" customHeight="false" outlineLevel="0" collapsed="false">
      <c r="A321" s="6"/>
      <c r="B321" s="7"/>
      <c r="C321" s="6"/>
      <c r="D321" s="6"/>
      <c r="E321" s="6"/>
      <c r="F321" s="7"/>
      <c r="G321" s="6"/>
      <c r="H321" s="6"/>
      <c r="I321" s="6"/>
      <c r="J321" s="7"/>
    </row>
    <row r="322" customFormat="false" ht="15" hidden="false" customHeight="false" outlineLevel="0" collapsed="false">
      <c r="A322" s="6"/>
      <c r="B322" s="7"/>
      <c r="C322" s="6"/>
      <c r="D322" s="6"/>
      <c r="E322" s="6"/>
      <c r="F322" s="7"/>
      <c r="G322" s="6"/>
      <c r="H322" s="6"/>
      <c r="I322" s="6"/>
      <c r="J322" s="7"/>
    </row>
    <row r="323" customFormat="false" ht="15" hidden="false" customHeight="false" outlineLevel="0" collapsed="false">
      <c r="A323" s="6"/>
      <c r="B323" s="7"/>
      <c r="C323" s="6"/>
      <c r="D323" s="6"/>
      <c r="E323" s="6"/>
      <c r="F323" s="7"/>
      <c r="G323" s="6"/>
      <c r="H323" s="6"/>
      <c r="I323" s="6"/>
      <c r="J323" s="7"/>
    </row>
    <row r="324" customFormat="false" ht="15" hidden="false" customHeight="false" outlineLevel="0" collapsed="false">
      <c r="A324" s="6"/>
      <c r="B324" s="7"/>
      <c r="C324" s="6"/>
      <c r="D324" s="6"/>
      <c r="E324" s="6"/>
      <c r="F324" s="7"/>
      <c r="G324" s="6"/>
      <c r="H324" s="6"/>
      <c r="I324" s="6"/>
      <c r="J324" s="7"/>
    </row>
    <row r="325" customFormat="false" ht="15" hidden="false" customHeight="false" outlineLevel="0" collapsed="false">
      <c r="A325" s="6"/>
      <c r="B325" s="7"/>
      <c r="C325" s="6"/>
      <c r="D325" s="6"/>
      <c r="E325" s="6"/>
      <c r="F325" s="7"/>
      <c r="G325" s="6"/>
      <c r="H325" s="6"/>
      <c r="I325" s="6"/>
      <c r="J325" s="7"/>
    </row>
    <row r="326" customFormat="false" ht="15" hidden="false" customHeight="false" outlineLevel="0" collapsed="false">
      <c r="A326" s="6"/>
      <c r="B326" s="7"/>
      <c r="C326" s="6"/>
      <c r="D326" s="6"/>
      <c r="E326" s="6"/>
      <c r="F326" s="7"/>
      <c r="G326" s="6"/>
      <c r="H326" s="6"/>
      <c r="I326" s="6"/>
      <c r="J326" s="7"/>
    </row>
    <row r="327" customFormat="false" ht="15" hidden="false" customHeight="false" outlineLevel="0" collapsed="false">
      <c r="A327" s="6"/>
      <c r="B327" s="7"/>
      <c r="C327" s="6"/>
      <c r="D327" s="6"/>
      <c r="E327" s="6"/>
      <c r="F327" s="7"/>
      <c r="G327" s="6"/>
      <c r="H327" s="6"/>
      <c r="I327" s="6"/>
      <c r="J327" s="7"/>
    </row>
    <row r="328" customFormat="false" ht="15" hidden="false" customHeight="false" outlineLevel="0" collapsed="false">
      <c r="A328" s="6"/>
      <c r="B328" s="7"/>
      <c r="C328" s="6"/>
      <c r="D328" s="6"/>
      <c r="E328" s="6"/>
      <c r="F328" s="7"/>
      <c r="G328" s="6"/>
      <c r="H328" s="6"/>
      <c r="I328" s="6"/>
      <c r="J328" s="7"/>
    </row>
    <row r="329" customFormat="false" ht="15" hidden="false" customHeight="false" outlineLevel="0" collapsed="false">
      <c r="A329" s="6"/>
      <c r="B329" s="7"/>
      <c r="C329" s="6"/>
      <c r="D329" s="6"/>
      <c r="E329" s="6"/>
      <c r="F329" s="7"/>
      <c r="G329" s="6"/>
      <c r="H329" s="6"/>
      <c r="I329" s="6"/>
      <c r="J329" s="7"/>
    </row>
    <row r="330" customFormat="false" ht="15" hidden="false" customHeight="false" outlineLevel="0" collapsed="false">
      <c r="A330" s="6"/>
      <c r="B330" s="7"/>
      <c r="C330" s="6"/>
      <c r="D330" s="6"/>
      <c r="E330" s="6"/>
      <c r="F330" s="7"/>
      <c r="G330" s="6"/>
      <c r="H330" s="6"/>
      <c r="I330" s="6"/>
      <c r="J330" s="7"/>
    </row>
    <row r="331" customFormat="false" ht="15" hidden="false" customHeight="false" outlineLevel="0" collapsed="false">
      <c r="A331" s="6"/>
      <c r="B331" s="7"/>
      <c r="C331" s="6"/>
      <c r="D331" s="6"/>
      <c r="E331" s="6"/>
      <c r="F331" s="7"/>
      <c r="G331" s="6"/>
      <c r="H331" s="6"/>
      <c r="I331" s="6"/>
      <c r="J331" s="7"/>
    </row>
    <row r="332" customFormat="false" ht="15" hidden="false" customHeight="false" outlineLevel="0" collapsed="false">
      <c r="A332" s="6"/>
      <c r="B332" s="7"/>
      <c r="C332" s="6"/>
      <c r="D332" s="6"/>
      <c r="E332" s="6"/>
      <c r="F332" s="7"/>
      <c r="G332" s="6"/>
      <c r="H332" s="6"/>
      <c r="I332" s="6"/>
      <c r="J332" s="7"/>
    </row>
    <row r="333" customFormat="false" ht="15" hidden="false" customHeight="false" outlineLevel="0" collapsed="false">
      <c r="A333" s="6"/>
      <c r="B333" s="7"/>
      <c r="C333" s="6"/>
      <c r="D333" s="6"/>
      <c r="E333" s="6"/>
      <c r="F333" s="7"/>
      <c r="G333" s="6"/>
      <c r="H333" s="6"/>
      <c r="I333" s="6"/>
      <c r="J333" s="7"/>
    </row>
    <row r="334" customFormat="false" ht="15" hidden="false" customHeight="false" outlineLevel="0" collapsed="false">
      <c r="A334" s="6"/>
      <c r="B334" s="7"/>
      <c r="C334" s="6"/>
      <c r="D334" s="6"/>
      <c r="E334" s="6"/>
      <c r="F334" s="7"/>
      <c r="G334" s="6"/>
      <c r="H334" s="6"/>
      <c r="I334" s="6"/>
      <c r="J334" s="7"/>
    </row>
    <row r="335" customFormat="false" ht="15" hidden="false" customHeight="false" outlineLevel="0" collapsed="false">
      <c r="A335" s="6"/>
      <c r="B335" s="7"/>
      <c r="C335" s="6"/>
      <c r="D335" s="6"/>
      <c r="E335" s="6"/>
      <c r="F335" s="7"/>
      <c r="G335" s="6"/>
      <c r="H335" s="6"/>
      <c r="I335" s="6"/>
      <c r="J335" s="7"/>
    </row>
    <row r="336" customFormat="false" ht="15" hidden="false" customHeight="false" outlineLevel="0" collapsed="false">
      <c r="A336" s="6"/>
      <c r="B336" s="7"/>
      <c r="C336" s="6"/>
      <c r="D336" s="6"/>
      <c r="E336" s="6"/>
      <c r="F336" s="7"/>
      <c r="G336" s="6"/>
      <c r="H336" s="6"/>
      <c r="I336" s="6"/>
      <c r="J336" s="7"/>
    </row>
    <row r="337" customFormat="false" ht="15" hidden="false" customHeight="false" outlineLevel="0" collapsed="false">
      <c r="A337" s="6"/>
      <c r="B337" s="7"/>
      <c r="C337" s="6"/>
      <c r="D337" s="6"/>
      <c r="E337" s="6"/>
      <c r="F337" s="7"/>
      <c r="G337" s="6"/>
      <c r="H337" s="6"/>
      <c r="I337" s="6"/>
      <c r="J337" s="7"/>
    </row>
    <row r="338" customFormat="false" ht="15" hidden="false" customHeight="false" outlineLevel="0" collapsed="false">
      <c r="A338" s="6"/>
      <c r="B338" s="7"/>
      <c r="C338" s="6"/>
      <c r="D338" s="6"/>
      <c r="E338" s="6"/>
      <c r="F338" s="7"/>
      <c r="G338" s="6"/>
      <c r="H338" s="6"/>
      <c r="I338" s="6"/>
      <c r="J338" s="7"/>
    </row>
    <row r="339" customFormat="false" ht="15" hidden="false" customHeight="false" outlineLevel="0" collapsed="false">
      <c r="A339" s="6"/>
      <c r="B339" s="7"/>
      <c r="C339" s="6"/>
      <c r="D339" s="6"/>
      <c r="E339" s="6"/>
      <c r="F339" s="7"/>
      <c r="G339" s="6"/>
      <c r="H339" s="6"/>
      <c r="I339" s="6"/>
      <c r="J339" s="7"/>
    </row>
    <row r="340" customFormat="false" ht="15" hidden="false" customHeight="false" outlineLevel="0" collapsed="false">
      <c r="A340" s="6"/>
      <c r="B340" s="7"/>
      <c r="C340" s="6"/>
      <c r="D340" s="6"/>
      <c r="E340" s="6"/>
      <c r="F340" s="7"/>
      <c r="G340" s="6"/>
      <c r="H340" s="6"/>
      <c r="I340" s="6"/>
      <c r="J340" s="7"/>
    </row>
    <row r="341" customFormat="false" ht="15" hidden="false" customHeight="false" outlineLevel="0" collapsed="false">
      <c r="A341" s="6"/>
      <c r="B341" s="7"/>
      <c r="C341" s="6"/>
      <c r="D341" s="6"/>
      <c r="E341" s="6"/>
      <c r="F341" s="7"/>
      <c r="G341" s="6"/>
      <c r="H341" s="6"/>
      <c r="I341" s="6"/>
      <c r="J341" s="7"/>
    </row>
    <row r="342" customFormat="false" ht="15" hidden="false" customHeight="false" outlineLevel="0" collapsed="false">
      <c r="A342" s="6"/>
      <c r="B342" s="7"/>
      <c r="C342" s="6"/>
      <c r="D342" s="6"/>
      <c r="E342" s="6"/>
      <c r="F342" s="7"/>
      <c r="G342" s="6"/>
      <c r="H342" s="6"/>
      <c r="I342" s="6"/>
      <c r="J342" s="7"/>
    </row>
    <row r="343" customFormat="false" ht="15" hidden="false" customHeight="false" outlineLevel="0" collapsed="false">
      <c r="A343" s="6"/>
      <c r="B343" s="7"/>
      <c r="C343" s="6"/>
      <c r="D343" s="6"/>
      <c r="E343" s="6"/>
      <c r="F343" s="7"/>
      <c r="G343" s="6"/>
      <c r="H343" s="6"/>
      <c r="I343" s="6"/>
      <c r="J343" s="7"/>
    </row>
    <row r="344" customFormat="false" ht="15" hidden="false" customHeight="false" outlineLevel="0" collapsed="false">
      <c r="A344" s="6"/>
      <c r="B344" s="7"/>
      <c r="C344" s="6"/>
      <c r="D344" s="6"/>
      <c r="E344" s="6"/>
      <c r="F344" s="7"/>
      <c r="G344" s="6"/>
      <c r="H344" s="6"/>
      <c r="I344" s="6"/>
      <c r="J344" s="7"/>
    </row>
    <row r="345" customFormat="false" ht="15" hidden="false" customHeight="false" outlineLevel="0" collapsed="false">
      <c r="A345" s="6"/>
      <c r="B345" s="7"/>
      <c r="C345" s="6"/>
      <c r="D345" s="6"/>
      <c r="E345" s="6"/>
      <c r="F345" s="7"/>
      <c r="G345" s="6"/>
      <c r="H345" s="6"/>
      <c r="I345" s="6"/>
      <c r="J345" s="7"/>
    </row>
    <row r="346" customFormat="false" ht="15" hidden="false" customHeight="false" outlineLevel="0" collapsed="false">
      <c r="A346" s="6"/>
      <c r="B346" s="7"/>
      <c r="C346" s="6"/>
      <c r="D346" s="6"/>
      <c r="E346" s="6"/>
      <c r="F346" s="7"/>
      <c r="G346" s="6"/>
      <c r="H346" s="6"/>
      <c r="I346" s="6"/>
      <c r="J346" s="7"/>
    </row>
    <row r="347" customFormat="false" ht="15" hidden="false" customHeight="false" outlineLevel="0" collapsed="false">
      <c r="A347" s="6"/>
      <c r="B347" s="7"/>
      <c r="C347" s="6"/>
      <c r="D347" s="6"/>
      <c r="E347" s="6"/>
      <c r="F347" s="7"/>
      <c r="G347" s="6"/>
      <c r="H347" s="6"/>
      <c r="I347" s="6"/>
      <c r="J347" s="7"/>
    </row>
    <row r="348" customFormat="false" ht="15" hidden="false" customHeight="false" outlineLevel="0" collapsed="false">
      <c r="A348" s="6"/>
      <c r="B348" s="7"/>
      <c r="C348" s="6"/>
      <c r="D348" s="6"/>
      <c r="E348" s="6"/>
      <c r="F348" s="7"/>
      <c r="G348" s="6"/>
      <c r="H348" s="6"/>
      <c r="I348" s="6"/>
      <c r="J348" s="7"/>
    </row>
    <row r="349" customFormat="false" ht="15" hidden="false" customHeight="false" outlineLevel="0" collapsed="false">
      <c r="A349" s="6"/>
      <c r="B349" s="7"/>
      <c r="C349" s="6"/>
      <c r="D349" s="6"/>
      <c r="E349" s="6"/>
      <c r="F349" s="7"/>
      <c r="G349" s="6"/>
      <c r="H349" s="6"/>
      <c r="I349" s="6"/>
      <c r="J349" s="7"/>
    </row>
    <row r="350" customFormat="false" ht="15" hidden="false" customHeight="false" outlineLevel="0" collapsed="false">
      <c r="A350" s="6"/>
      <c r="B350" s="7"/>
      <c r="C350" s="6"/>
      <c r="D350" s="6"/>
      <c r="E350" s="6"/>
      <c r="F350" s="7"/>
      <c r="G350" s="6"/>
      <c r="H350" s="6"/>
      <c r="I350" s="6"/>
      <c r="J350" s="7"/>
    </row>
    <row r="351" customFormat="false" ht="15" hidden="false" customHeight="false" outlineLevel="0" collapsed="false">
      <c r="A351" s="6"/>
      <c r="B351" s="7"/>
      <c r="C351" s="6"/>
      <c r="D351" s="6"/>
      <c r="E351" s="6"/>
      <c r="F351" s="7"/>
      <c r="G351" s="6"/>
      <c r="H351" s="6"/>
      <c r="I351" s="6"/>
      <c r="J351" s="7"/>
    </row>
    <row r="352" customFormat="false" ht="15" hidden="false" customHeight="false" outlineLevel="0" collapsed="false">
      <c r="A352" s="6"/>
      <c r="B352" s="7"/>
      <c r="C352" s="6"/>
      <c r="D352" s="6"/>
      <c r="E352" s="6"/>
      <c r="F352" s="7"/>
      <c r="G352" s="6"/>
      <c r="H352" s="6"/>
      <c r="I352" s="6"/>
      <c r="J352" s="7"/>
    </row>
    <row r="353" customFormat="false" ht="15" hidden="false" customHeight="false" outlineLevel="0" collapsed="false">
      <c r="A353" s="6"/>
      <c r="B353" s="7"/>
      <c r="C353" s="6"/>
      <c r="D353" s="6"/>
      <c r="E353" s="6"/>
      <c r="F353" s="7"/>
      <c r="G353" s="6"/>
      <c r="H353" s="6"/>
      <c r="I353" s="6"/>
      <c r="J353" s="7"/>
    </row>
    <row r="354" customFormat="false" ht="15" hidden="false" customHeight="false" outlineLevel="0" collapsed="false">
      <c r="A354" s="6"/>
      <c r="B354" s="7"/>
      <c r="C354" s="6"/>
      <c r="D354" s="6"/>
      <c r="E354" s="6"/>
      <c r="F354" s="7"/>
      <c r="G354" s="6"/>
      <c r="H354" s="6"/>
      <c r="I354" s="6"/>
      <c r="J354" s="7"/>
    </row>
    <row r="355" customFormat="false" ht="15" hidden="false" customHeight="false" outlineLevel="0" collapsed="false">
      <c r="A355" s="6"/>
      <c r="B355" s="7"/>
      <c r="C355" s="6"/>
      <c r="D355" s="6"/>
      <c r="E355" s="6"/>
      <c r="F355" s="7"/>
      <c r="G355" s="6"/>
      <c r="H355" s="6"/>
      <c r="I355" s="6"/>
      <c r="J355" s="7"/>
    </row>
    <row r="356" customFormat="false" ht="15" hidden="false" customHeight="false" outlineLevel="0" collapsed="false">
      <c r="A356" s="6"/>
      <c r="B356" s="7"/>
      <c r="C356" s="6"/>
      <c r="D356" s="6"/>
      <c r="E356" s="6"/>
      <c r="F356" s="7"/>
      <c r="G356" s="6"/>
      <c r="H356" s="6"/>
      <c r="I356" s="6"/>
      <c r="J356" s="7"/>
    </row>
    <row r="357" customFormat="false" ht="15" hidden="false" customHeight="false" outlineLevel="0" collapsed="false">
      <c r="A357" s="6"/>
      <c r="B357" s="7"/>
      <c r="C357" s="6"/>
      <c r="D357" s="6"/>
      <c r="E357" s="6"/>
      <c r="F357" s="7"/>
      <c r="G357" s="6"/>
      <c r="H357" s="6"/>
      <c r="I357" s="6"/>
      <c r="J357" s="7"/>
    </row>
    <row r="358" customFormat="false" ht="15" hidden="false" customHeight="false" outlineLevel="0" collapsed="false">
      <c r="A358" s="6"/>
      <c r="B358" s="7"/>
      <c r="C358" s="6"/>
      <c r="D358" s="6"/>
      <c r="E358" s="6"/>
      <c r="F358" s="7"/>
      <c r="G358" s="6"/>
      <c r="H358" s="6"/>
      <c r="I358" s="6"/>
      <c r="J358" s="7"/>
    </row>
    <row r="359" customFormat="false" ht="15" hidden="false" customHeight="false" outlineLevel="0" collapsed="false">
      <c r="A359" s="6"/>
      <c r="B359" s="7"/>
      <c r="C359" s="6"/>
      <c r="D359" s="6"/>
      <c r="E359" s="6"/>
      <c r="F359" s="7"/>
      <c r="G359" s="6"/>
      <c r="H359" s="6"/>
      <c r="I359" s="6"/>
      <c r="J359" s="7"/>
    </row>
    <row r="360" customFormat="false" ht="15" hidden="false" customHeight="false" outlineLevel="0" collapsed="false">
      <c r="A360" s="6"/>
      <c r="B360" s="7"/>
      <c r="C360" s="6"/>
      <c r="D360" s="6"/>
      <c r="E360" s="6"/>
      <c r="F360" s="7"/>
      <c r="G360" s="6"/>
      <c r="H360" s="6"/>
      <c r="I360" s="6"/>
      <c r="J360" s="7"/>
    </row>
    <row r="361" customFormat="false" ht="15" hidden="false" customHeight="false" outlineLevel="0" collapsed="false">
      <c r="A361" s="6"/>
      <c r="B361" s="7"/>
      <c r="C361" s="6"/>
      <c r="D361" s="6"/>
      <c r="E361" s="6"/>
      <c r="F361" s="7"/>
      <c r="G361" s="6"/>
      <c r="H361" s="6"/>
      <c r="I361" s="6"/>
      <c r="J361" s="7"/>
    </row>
    <row r="362" customFormat="false" ht="15" hidden="false" customHeight="false" outlineLevel="0" collapsed="false">
      <c r="A362" s="6"/>
      <c r="B362" s="7"/>
      <c r="C362" s="6"/>
      <c r="D362" s="6"/>
      <c r="E362" s="6"/>
      <c r="F362" s="7"/>
      <c r="G362" s="6"/>
      <c r="H362" s="6"/>
      <c r="I362" s="6"/>
      <c r="J362" s="7"/>
    </row>
    <row r="363" customFormat="false" ht="15" hidden="false" customHeight="false" outlineLevel="0" collapsed="false">
      <c r="A363" s="6"/>
      <c r="B363" s="7"/>
      <c r="C363" s="6"/>
      <c r="D363" s="6"/>
      <c r="E363" s="6"/>
      <c r="F363" s="7"/>
      <c r="G363" s="6"/>
      <c r="H363" s="6"/>
      <c r="I363" s="6"/>
      <c r="J363" s="7"/>
    </row>
    <row r="364" customFormat="false" ht="15" hidden="false" customHeight="false" outlineLevel="0" collapsed="false">
      <c r="A364" s="6"/>
      <c r="B364" s="7"/>
      <c r="C364" s="6"/>
      <c r="D364" s="6"/>
      <c r="E364" s="6"/>
      <c r="F364" s="7"/>
      <c r="G364" s="6"/>
      <c r="H364" s="6"/>
      <c r="I364" s="6"/>
      <c r="J364" s="7"/>
    </row>
    <row r="365" customFormat="false" ht="15" hidden="false" customHeight="false" outlineLevel="0" collapsed="false">
      <c r="A365" s="6"/>
      <c r="B365" s="7"/>
      <c r="C365" s="6"/>
      <c r="D365" s="6"/>
      <c r="E365" s="6"/>
      <c r="F365" s="7"/>
      <c r="G365" s="6"/>
      <c r="H365" s="6"/>
      <c r="I365" s="6"/>
      <c r="J365" s="7"/>
    </row>
    <row r="366" customFormat="false" ht="15" hidden="false" customHeight="false" outlineLevel="0" collapsed="false">
      <c r="A366" s="6"/>
      <c r="B366" s="7"/>
      <c r="C366" s="6"/>
      <c r="D366" s="6"/>
      <c r="E366" s="6"/>
      <c r="F366" s="7"/>
      <c r="G366" s="6"/>
      <c r="H366" s="6"/>
      <c r="I366" s="6"/>
      <c r="J366" s="7"/>
    </row>
    <row r="367" customFormat="false" ht="15" hidden="false" customHeight="false" outlineLevel="0" collapsed="false">
      <c r="A367" s="6"/>
      <c r="B367" s="7"/>
      <c r="C367" s="6"/>
      <c r="D367" s="6"/>
      <c r="E367" s="6"/>
      <c r="F367" s="7"/>
      <c r="G367" s="6"/>
      <c r="H367" s="6"/>
      <c r="I367" s="6"/>
      <c r="J367" s="7"/>
    </row>
    <row r="368" customFormat="false" ht="15" hidden="false" customHeight="false" outlineLevel="0" collapsed="false">
      <c r="A368" s="6"/>
      <c r="B368" s="7"/>
      <c r="C368" s="6"/>
      <c r="D368" s="6"/>
      <c r="E368" s="6"/>
      <c r="F368" s="7"/>
      <c r="G368" s="6"/>
      <c r="H368" s="6"/>
      <c r="I368" s="6"/>
      <c r="J368" s="7"/>
    </row>
    <row r="369" customFormat="false" ht="15" hidden="false" customHeight="false" outlineLevel="0" collapsed="false">
      <c r="A369" s="6"/>
      <c r="B369" s="7"/>
      <c r="C369" s="6"/>
      <c r="D369" s="6"/>
      <c r="E369" s="6"/>
      <c r="F369" s="7"/>
      <c r="G369" s="6"/>
      <c r="H369" s="6"/>
      <c r="I369" s="6"/>
      <c r="J369" s="7"/>
    </row>
    <row r="370" customFormat="false" ht="15" hidden="false" customHeight="false" outlineLevel="0" collapsed="false">
      <c r="A370" s="6"/>
      <c r="B370" s="7"/>
      <c r="C370" s="6"/>
      <c r="D370" s="6"/>
      <c r="E370" s="6"/>
      <c r="F370" s="7"/>
      <c r="G370" s="6"/>
      <c r="H370" s="6"/>
      <c r="I370" s="6"/>
      <c r="J370" s="7"/>
    </row>
    <row r="371" customFormat="false" ht="15" hidden="false" customHeight="false" outlineLevel="0" collapsed="false">
      <c r="A371" s="6"/>
      <c r="B371" s="7"/>
      <c r="C371" s="6"/>
      <c r="D371" s="6"/>
      <c r="E371" s="6"/>
      <c r="F371" s="7"/>
      <c r="G371" s="6"/>
      <c r="H371" s="6"/>
      <c r="I371" s="6"/>
      <c r="J371" s="7"/>
    </row>
    <row r="372" customFormat="false" ht="15" hidden="false" customHeight="false" outlineLevel="0" collapsed="false">
      <c r="A372" s="6"/>
      <c r="B372" s="7"/>
      <c r="C372" s="6"/>
      <c r="D372" s="6"/>
      <c r="E372" s="6"/>
      <c r="F372" s="7"/>
      <c r="G372" s="6"/>
      <c r="H372" s="6"/>
      <c r="I372" s="6"/>
      <c r="J372" s="7"/>
    </row>
    <row r="373" customFormat="false" ht="15" hidden="false" customHeight="false" outlineLevel="0" collapsed="false">
      <c r="A373" s="6"/>
      <c r="B373" s="7"/>
      <c r="C373" s="6"/>
      <c r="D373" s="6"/>
      <c r="E373" s="6"/>
      <c r="F373" s="7"/>
      <c r="G373" s="6"/>
      <c r="H373" s="6"/>
      <c r="I373" s="6"/>
      <c r="J373" s="7"/>
    </row>
    <row r="374" customFormat="false" ht="15" hidden="false" customHeight="false" outlineLevel="0" collapsed="false">
      <c r="A374" s="6"/>
      <c r="B374" s="7"/>
      <c r="C374" s="6"/>
      <c r="D374" s="6"/>
      <c r="E374" s="6"/>
      <c r="F374" s="7"/>
      <c r="G374" s="6"/>
      <c r="H374" s="6"/>
      <c r="I374" s="6"/>
      <c r="J374" s="7"/>
    </row>
    <row r="375" customFormat="false" ht="15" hidden="false" customHeight="false" outlineLevel="0" collapsed="false">
      <c r="A375" s="6"/>
      <c r="B375" s="7"/>
      <c r="C375" s="6"/>
      <c r="D375" s="6"/>
      <c r="E375" s="6"/>
      <c r="F375" s="7"/>
      <c r="G375" s="6"/>
      <c r="H375" s="6"/>
      <c r="I375" s="6"/>
      <c r="J375" s="7"/>
    </row>
    <row r="376" customFormat="false" ht="15" hidden="false" customHeight="false" outlineLevel="0" collapsed="false">
      <c r="A376" s="6"/>
      <c r="B376" s="7"/>
      <c r="C376" s="6"/>
      <c r="D376" s="6"/>
      <c r="E376" s="6"/>
      <c r="F376" s="7"/>
      <c r="G376" s="6"/>
      <c r="H376" s="6"/>
      <c r="I376" s="6"/>
      <c r="J376" s="7"/>
    </row>
    <row r="377" customFormat="false" ht="15" hidden="false" customHeight="false" outlineLevel="0" collapsed="false">
      <c r="A377" s="6"/>
      <c r="B377" s="7"/>
      <c r="C377" s="6"/>
      <c r="D377" s="6"/>
      <c r="E377" s="6"/>
      <c r="F377" s="7"/>
      <c r="G377" s="6"/>
      <c r="H377" s="6"/>
      <c r="I377" s="6"/>
      <c r="J377" s="7"/>
    </row>
    <row r="378" customFormat="false" ht="15" hidden="false" customHeight="false" outlineLevel="0" collapsed="false">
      <c r="A378" s="6"/>
      <c r="B378" s="7"/>
      <c r="C378" s="6"/>
      <c r="D378" s="6"/>
      <c r="E378" s="6"/>
      <c r="F378" s="7"/>
      <c r="G378" s="6"/>
      <c r="H378" s="6"/>
      <c r="I378" s="6"/>
      <c r="J378" s="7"/>
    </row>
    <row r="379" customFormat="false" ht="15" hidden="false" customHeight="false" outlineLevel="0" collapsed="false">
      <c r="A379" s="6"/>
      <c r="B379" s="7"/>
      <c r="C379" s="6"/>
      <c r="D379" s="6"/>
      <c r="E379" s="6"/>
      <c r="F379" s="7"/>
      <c r="G379" s="6"/>
      <c r="H379" s="6"/>
      <c r="I379" s="6"/>
      <c r="J379" s="7"/>
    </row>
    <row r="380" customFormat="false" ht="15" hidden="false" customHeight="false" outlineLevel="0" collapsed="false">
      <c r="A380" s="6"/>
      <c r="B380" s="7"/>
      <c r="C380" s="6"/>
      <c r="D380" s="6"/>
      <c r="E380" s="6"/>
      <c r="F380" s="7"/>
      <c r="G380" s="6"/>
      <c r="H380" s="6"/>
      <c r="I380" s="6"/>
      <c r="J380" s="7"/>
    </row>
    <row r="381" customFormat="false" ht="15" hidden="false" customHeight="false" outlineLevel="0" collapsed="false">
      <c r="A381" s="6"/>
      <c r="B381" s="7"/>
      <c r="C381" s="6"/>
      <c r="D381" s="6"/>
      <c r="E381" s="6"/>
      <c r="F381" s="7"/>
      <c r="G381" s="6"/>
      <c r="H381" s="6"/>
      <c r="I381" s="6"/>
      <c r="J381" s="7"/>
    </row>
    <row r="382" customFormat="false" ht="15" hidden="false" customHeight="false" outlineLevel="0" collapsed="false">
      <c r="A382" s="6"/>
      <c r="B382" s="7"/>
      <c r="C382" s="6"/>
      <c r="D382" s="6"/>
      <c r="E382" s="6"/>
      <c r="F382" s="7"/>
      <c r="G382" s="6"/>
      <c r="H382" s="6"/>
      <c r="I382" s="6"/>
      <c r="J382" s="7"/>
    </row>
    <row r="383" customFormat="false" ht="15" hidden="false" customHeight="false" outlineLevel="0" collapsed="false">
      <c r="A383" s="6"/>
      <c r="B383" s="7"/>
      <c r="C383" s="6"/>
      <c r="D383" s="6"/>
      <c r="E383" s="6"/>
      <c r="F383" s="7"/>
      <c r="G383" s="6"/>
      <c r="H383" s="6"/>
      <c r="I383" s="6"/>
      <c r="J383" s="7"/>
    </row>
    <row r="384" customFormat="false" ht="15" hidden="false" customHeight="false" outlineLevel="0" collapsed="false">
      <c r="A384" s="6"/>
      <c r="B384" s="7"/>
      <c r="C384" s="6"/>
      <c r="D384" s="6"/>
      <c r="E384" s="6"/>
      <c r="F384" s="7"/>
      <c r="G384" s="6"/>
      <c r="H384" s="6"/>
      <c r="I384" s="6"/>
      <c r="J384" s="7"/>
    </row>
    <row r="385" customFormat="false" ht="15" hidden="false" customHeight="false" outlineLevel="0" collapsed="false">
      <c r="A385" s="6"/>
      <c r="B385" s="7"/>
      <c r="C385" s="6"/>
      <c r="D385" s="6"/>
      <c r="E385" s="6"/>
      <c r="F385" s="7"/>
      <c r="G385" s="6"/>
      <c r="H385" s="6"/>
      <c r="I385" s="6"/>
      <c r="J385" s="7"/>
    </row>
    <row r="386" customFormat="false" ht="15" hidden="false" customHeight="false" outlineLevel="0" collapsed="false">
      <c r="A386" s="6"/>
      <c r="B386" s="7"/>
      <c r="C386" s="6"/>
      <c r="D386" s="6"/>
      <c r="E386" s="6"/>
      <c r="F386" s="7"/>
      <c r="G386" s="6"/>
      <c r="H386" s="6"/>
      <c r="I386" s="6"/>
      <c r="J386" s="7"/>
    </row>
    <row r="387" customFormat="false" ht="15" hidden="false" customHeight="false" outlineLevel="0" collapsed="false">
      <c r="A387" s="6"/>
      <c r="B387" s="7"/>
      <c r="C387" s="6"/>
      <c r="D387" s="6"/>
      <c r="E387" s="6"/>
      <c r="F387" s="7"/>
      <c r="G387" s="6"/>
      <c r="H387" s="6"/>
      <c r="I387" s="6"/>
      <c r="J387" s="7"/>
    </row>
    <row r="388" customFormat="false" ht="15" hidden="false" customHeight="false" outlineLevel="0" collapsed="false">
      <c r="A388" s="6"/>
      <c r="B388" s="7"/>
      <c r="C388" s="6"/>
      <c r="D388" s="6"/>
      <c r="E388" s="6"/>
      <c r="F388" s="7"/>
      <c r="G388" s="6"/>
      <c r="H388" s="6"/>
      <c r="I388" s="6"/>
      <c r="J388" s="7"/>
    </row>
    <row r="389" customFormat="false" ht="15" hidden="false" customHeight="false" outlineLevel="0" collapsed="false">
      <c r="A389" s="6"/>
      <c r="B389" s="7"/>
      <c r="C389" s="6"/>
      <c r="D389" s="6"/>
      <c r="E389" s="6"/>
      <c r="F389" s="7"/>
      <c r="G389" s="6"/>
      <c r="H389" s="6"/>
      <c r="I389" s="6"/>
      <c r="J389" s="7"/>
    </row>
    <row r="390" customFormat="false" ht="15" hidden="false" customHeight="false" outlineLevel="0" collapsed="false">
      <c r="A390" s="6"/>
      <c r="B390" s="7"/>
      <c r="C390" s="6"/>
      <c r="D390" s="6"/>
      <c r="E390" s="6"/>
      <c r="F390" s="7"/>
      <c r="G390" s="6"/>
      <c r="H390" s="6"/>
      <c r="I390" s="6"/>
      <c r="J390" s="7"/>
    </row>
    <row r="391" customFormat="false" ht="15" hidden="false" customHeight="false" outlineLevel="0" collapsed="false">
      <c r="A391" s="6"/>
      <c r="B391" s="7"/>
      <c r="C391" s="6"/>
      <c r="D391" s="6"/>
      <c r="E391" s="6"/>
      <c r="F391" s="7"/>
      <c r="G391" s="6"/>
      <c r="H391" s="6"/>
      <c r="I391" s="6"/>
      <c r="J391" s="7"/>
    </row>
    <row r="392" customFormat="false" ht="15" hidden="false" customHeight="false" outlineLevel="0" collapsed="false">
      <c r="A392" s="6"/>
      <c r="B392" s="7"/>
      <c r="C392" s="6"/>
      <c r="D392" s="6"/>
      <c r="E392" s="6"/>
      <c r="F392" s="7"/>
      <c r="G392" s="6"/>
      <c r="H392" s="6"/>
      <c r="I392" s="6"/>
      <c r="J392" s="7"/>
    </row>
    <row r="393" customFormat="false" ht="15" hidden="false" customHeight="false" outlineLevel="0" collapsed="false">
      <c r="A393" s="6"/>
      <c r="B393" s="7"/>
      <c r="C393" s="6"/>
      <c r="D393" s="6"/>
      <c r="E393" s="6"/>
      <c r="F393" s="7"/>
      <c r="G393" s="6"/>
      <c r="H393" s="6"/>
      <c r="I393" s="6"/>
      <c r="J393" s="7"/>
    </row>
    <row r="394" customFormat="false" ht="15" hidden="false" customHeight="false" outlineLevel="0" collapsed="false">
      <c r="A394" s="6"/>
      <c r="B394" s="7"/>
      <c r="C394" s="6"/>
      <c r="D394" s="6"/>
      <c r="E394" s="6"/>
      <c r="F394" s="7"/>
      <c r="G394" s="6"/>
      <c r="H394" s="6"/>
      <c r="I394" s="6"/>
      <c r="J394" s="7"/>
    </row>
    <row r="395" customFormat="false" ht="15" hidden="false" customHeight="false" outlineLevel="0" collapsed="false">
      <c r="A395" s="6"/>
      <c r="B395" s="7"/>
      <c r="C395" s="6"/>
      <c r="D395" s="6"/>
      <c r="E395" s="6"/>
      <c r="F395" s="7"/>
      <c r="G395" s="6"/>
      <c r="H395" s="6"/>
      <c r="I395" s="6"/>
      <c r="J395" s="7"/>
    </row>
    <row r="396" customFormat="false" ht="15" hidden="false" customHeight="false" outlineLevel="0" collapsed="false">
      <c r="A396" s="6"/>
      <c r="B396" s="7"/>
      <c r="C396" s="6"/>
      <c r="D396" s="6"/>
      <c r="E396" s="6"/>
      <c r="F396" s="7"/>
      <c r="G396" s="6"/>
      <c r="H396" s="6"/>
      <c r="I396" s="6"/>
      <c r="J396" s="7"/>
    </row>
    <row r="397" customFormat="false" ht="15" hidden="false" customHeight="false" outlineLevel="0" collapsed="false">
      <c r="A397" s="6"/>
      <c r="B397" s="7"/>
      <c r="C397" s="6"/>
      <c r="D397" s="6"/>
      <c r="E397" s="6"/>
      <c r="F397" s="7"/>
      <c r="G397" s="6"/>
      <c r="H397" s="6"/>
      <c r="I397" s="6"/>
      <c r="J397" s="7"/>
    </row>
    <row r="398" customFormat="false" ht="15" hidden="false" customHeight="false" outlineLevel="0" collapsed="false">
      <c r="A398" s="6"/>
      <c r="B398" s="7"/>
      <c r="C398" s="6"/>
      <c r="D398" s="6"/>
      <c r="E398" s="6"/>
      <c r="F398" s="7"/>
      <c r="G398" s="6"/>
      <c r="H398" s="6"/>
      <c r="I398" s="6"/>
      <c r="J398" s="7"/>
    </row>
    <row r="399" customFormat="false" ht="15" hidden="false" customHeight="false" outlineLevel="0" collapsed="false">
      <c r="A399" s="6"/>
      <c r="B399" s="7"/>
      <c r="C399" s="6"/>
      <c r="D399" s="6"/>
      <c r="E399" s="6"/>
      <c r="F399" s="7"/>
      <c r="G399" s="6"/>
      <c r="H399" s="6"/>
      <c r="I399" s="6"/>
      <c r="J399" s="7"/>
    </row>
    <row r="400" customFormat="false" ht="15" hidden="false" customHeight="false" outlineLevel="0" collapsed="false">
      <c r="A400" s="6"/>
      <c r="B400" s="7"/>
      <c r="C400" s="6"/>
      <c r="D400" s="6"/>
      <c r="E400" s="6"/>
      <c r="F400" s="7"/>
      <c r="G400" s="6"/>
      <c r="H400" s="6"/>
      <c r="I400" s="6"/>
      <c r="J400" s="7"/>
    </row>
  </sheetData>
  <autoFilter ref="A4:J400"/>
  <dataValidations count="2">
    <dataValidation allowBlank="true" errorStyle="stop" operator="between" showDropDown="false" showErrorMessage="false" showInputMessage="false" sqref="C5:C400" type="list">
      <formula1>"WP1 FOH,WP2 CORRIDOI,WP3 SUITE,WP4 SCALA B"</formula1>
      <formula2>0</formula2>
    </dataValidation>
    <dataValidation allowBlank="true" errorStyle="stop" operator="between" showDropDown="false" showErrorMessage="false" showInputMessage="false" sqref="H5:H400" type="list">
      <formula1>"A misura,A corpo"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4"/>
  </cols>
  <sheetData>
    <row r="1" customFormat="false" ht="1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30" hidden="false" customHeight="true" outlineLevel="0" collapsed="false">
      <c r="A4" s="3" t="s">
        <v>23</v>
      </c>
      <c r="B4" s="3" t="s">
        <v>24</v>
      </c>
      <c r="C4" s="3" t="s">
        <v>4</v>
      </c>
      <c r="D4" s="3" t="s">
        <v>5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9</v>
      </c>
      <c r="L4" s="3" t="s">
        <v>31</v>
      </c>
      <c r="M4" s="3" t="s">
        <v>32</v>
      </c>
      <c r="N4" s="3" t="s">
        <v>33</v>
      </c>
    </row>
    <row r="5" customFormat="false" ht="15" hidden="false" customHeight="false" outlineLevel="0" collapsed="false">
      <c r="A5" s="6"/>
      <c r="B5" s="7"/>
      <c r="C5" s="6"/>
      <c r="D5" s="6"/>
      <c r="E5" s="6"/>
      <c r="F5" s="8"/>
      <c r="G5" s="9"/>
      <c r="H5" s="7"/>
      <c r="I5" s="6" t="str">
        <f aca="false">IF($A5="","",IFERROR(VLOOKUP($A5,Transcodifica!$A$5:$J$400,5,FALSE()),"NON MAPPATO"))</f>
        <v/>
      </c>
      <c r="J5" s="6" t="str">
        <f aca="false">IF($A5="","",IFERROR(VLOOKUP($A5,Transcodifica!$A$5:$J$400,7,FALSE()),""))</f>
        <v/>
      </c>
      <c r="K5" s="6" t="str">
        <f aca="false">IF($A5="","",IFERROR(VLOOKUP($A5,Transcodifica!$A$5:$J$400,8,FALSE()),""))</f>
        <v/>
      </c>
      <c r="L5" s="6" t="str">
        <f aca="false">IF($A5="","",IFERROR(VLOOKUP($A5,Transcodifica!$A$5:$J$400,9,FALSE()),""))</f>
        <v/>
      </c>
      <c r="M5" s="8" t="str">
        <f aca="false">IF($A5="","",IF($E5="APPROVATO",1,IF($E5="In svolgimento",IF($F5="",0,$F5),0)))</f>
        <v/>
      </c>
      <c r="N5" s="10" t="str">
        <f aca="false">IF(OR($A5="",$I5="NON MAPPATO",$I5=""),"",$L5*$M5)</f>
        <v/>
      </c>
    </row>
    <row r="6" customFormat="false" ht="15" hidden="false" customHeight="false" outlineLevel="0" collapsed="false">
      <c r="A6" s="6"/>
      <c r="B6" s="7"/>
      <c r="C6" s="6"/>
      <c r="D6" s="6"/>
      <c r="E6" s="6"/>
      <c r="F6" s="8"/>
      <c r="G6" s="9"/>
      <c r="H6" s="7"/>
      <c r="I6" s="6" t="str">
        <f aca="false">IF($A6="","",IFERROR(VLOOKUP($A6,Transcodifica!$A$5:$J$400,5,FALSE()),"NON MAPPATO"))</f>
        <v/>
      </c>
      <c r="J6" s="6" t="str">
        <f aca="false">IF($A6="","",IFERROR(VLOOKUP($A6,Transcodifica!$A$5:$J$400,7,FALSE()),""))</f>
        <v/>
      </c>
      <c r="K6" s="6" t="str">
        <f aca="false">IF($A6="","",IFERROR(VLOOKUP($A6,Transcodifica!$A$5:$J$400,8,FALSE()),""))</f>
        <v/>
      </c>
      <c r="L6" s="6" t="str">
        <f aca="false">IF($A6="","",IFERROR(VLOOKUP($A6,Transcodifica!$A$5:$J$400,9,FALSE()),""))</f>
        <v/>
      </c>
      <c r="M6" s="8" t="str">
        <f aca="false">IF($A6="","",IF($E6="APPROVATO",1,IF($E6="In svolgimento",IF($F6="",0,$F6),0)))</f>
        <v/>
      </c>
      <c r="N6" s="10" t="str">
        <f aca="false">IF(OR($A6="",$I6="NON MAPPATO",$I6=""),"",$L6*$M6)</f>
        <v/>
      </c>
    </row>
    <row r="7" customFormat="false" ht="15" hidden="false" customHeight="false" outlineLevel="0" collapsed="false">
      <c r="A7" s="6"/>
      <c r="B7" s="7"/>
      <c r="C7" s="6"/>
      <c r="D7" s="6"/>
      <c r="E7" s="6"/>
      <c r="F7" s="8"/>
      <c r="G7" s="9"/>
      <c r="H7" s="7"/>
      <c r="I7" s="6" t="str">
        <f aca="false">IF($A7="","",IFERROR(VLOOKUP($A7,Transcodifica!$A$5:$J$400,5,FALSE()),"NON MAPPATO"))</f>
        <v/>
      </c>
      <c r="J7" s="6" t="str">
        <f aca="false">IF($A7="","",IFERROR(VLOOKUP($A7,Transcodifica!$A$5:$J$400,7,FALSE()),""))</f>
        <v/>
      </c>
      <c r="K7" s="6" t="str">
        <f aca="false">IF($A7="","",IFERROR(VLOOKUP($A7,Transcodifica!$A$5:$J$400,8,FALSE()),""))</f>
        <v/>
      </c>
      <c r="L7" s="6" t="str">
        <f aca="false">IF($A7="","",IFERROR(VLOOKUP($A7,Transcodifica!$A$5:$J$400,9,FALSE()),""))</f>
        <v/>
      </c>
      <c r="M7" s="8" t="str">
        <f aca="false">IF($A7="","",IF($E7="APPROVATO",1,IF($E7="In svolgimento",IF($F7="",0,$F7),0)))</f>
        <v/>
      </c>
      <c r="N7" s="10" t="str">
        <f aca="false">IF(OR($A7="",$I7="NON MAPPATO",$I7=""),"",$L7*$M7)</f>
        <v/>
      </c>
    </row>
    <row r="8" customFormat="false" ht="15" hidden="false" customHeight="false" outlineLevel="0" collapsed="false">
      <c r="A8" s="6"/>
      <c r="B8" s="7"/>
      <c r="C8" s="6"/>
      <c r="D8" s="6"/>
      <c r="E8" s="6"/>
      <c r="F8" s="8"/>
      <c r="G8" s="9"/>
      <c r="H8" s="7"/>
      <c r="I8" s="6" t="str">
        <f aca="false">IF($A8="","",IFERROR(VLOOKUP($A8,Transcodifica!$A$5:$J$400,5,FALSE()),"NON MAPPATO"))</f>
        <v/>
      </c>
      <c r="J8" s="6" t="str">
        <f aca="false">IF($A8="","",IFERROR(VLOOKUP($A8,Transcodifica!$A$5:$J$400,7,FALSE()),""))</f>
        <v/>
      </c>
      <c r="K8" s="6" t="str">
        <f aca="false">IF($A8="","",IFERROR(VLOOKUP($A8,Transcodifica!$A$5:$J$400,8,FALSE()),""))</f>
        <v/>
      </c>
      <c r="L8" s="6" t="str">
        <f aca="false">IF($A8="","",IFERROR(VLOOKUP($A8,Transcodifica!$A$5:$J$400,9,FALSE()),""))</f>
        <v/>
      </c>
      <c r="M8" s="8" t="str">
        <f aca="false">IF($A8="","",IF($E8="APPROVATO",1,IF($E8="In svolgimento",IF($F8="",0,$F8),0)))</f>
        <v/>
      </c>
      <c r="N8" s="10" t="str">
        <f aca="false">IF(OR($A8="",$I8="NON MAPPATO",$I8=""),"",$L8*$M8)</f>
        <v/>
      </c>
    </row>
    <row r="9" customFormat="false" ht="15" hidden="false" customHeight="false" outlineLevel="0" collapsed="false">
      <c r="A9" s="6"/>
      <c r="B9" s="7"/>
      <c r="C9" s="6"/>
      <c r="D9" s="6"/>
      <c r="E9" s="6"/>
      <c r="F9" s="8"/>
      <c r="G9" s="9"/>
      <c r="H9" s="7"/>
      <c r="I9" s="6" t="str">
        <f aca="false">IF($A9="","",IFERROR(VLOOKUP($A9,Transcodifica!$A$5:$J$400,5,FALSE()),"NON MAPPATO"))</f>
        <v/>
      </c>
      <c r="J9" s="6" t="str">
        <f aca="false">IF($A9="","",IFERROR(VLOOKUP($A9,Transcodifica!$A$5:$J$400,7,FALSE()),""))</f>
        <v/>
      </c>
      <c r="K9" s="6" t="str">
        <f aca="false">IF($A9="","",IFERROR(VLOOKUP($A9,Transcodifica!$A$5:$J$400,8,FALSE()),""))</f>
        <v/>
      </c>
      <c r="L9" s="6" t="str">
        <f aca="false">IF($A9="","",IFERROR(VLOOKUP($A9,Transcodifica!$A$5:$J$400,9,FALSE()),""))</f>
        <v/>
      </c>
      <c r="M9" s="8" t="str">
        <f aca="false">IF($A9="","",IF($E9="APPROVATO",1,IF($E9="In svolgimento",IF($F9="",0,$F9),0)))</f>
        <v/>
      </c>
      <c r="N9" s="10" t="str">
        <f aca="false">IF(OR($A9="",$I9="NON MAPPATO",$I9=""),"",$L9*$M9)</f>
        <v/>
      </c>
    </row>
    <row r="10" customFormat="false" ht="15" hidden="false" customHeight="false" outlineLevel="0" collapsed="false">
      <c r="A10" s="6"/>
      <c r="B10" s="7"/>
      <c r="C10" s="6"/>
      <c r="D10" s="6"/>
      <c r="E10" s="6"/>
      <c r="F10" s="8"/>
      <c r="G10" s="9"/>
      <c r="H10" s="7"/>
      <c r="I10" s="6" t="str">
        <f aca="false">IF($A10="","",IFERROR(VLOOKUP($A10,Transcodifica!$A$5:$J$400,5,FALSE()),"NON MAPPATO"))</f>
        <v/>
      </c>
      <c r="J10" s="6" t="str">
        <f aca="false">IF($A10="","",IFERROR(VLOOKUP($A10,Transcodifica!$A$5:$J$400,7,FALSE()),""))</f>
        <v/>
      </c>
      <c r="K10" s="6" t="str">
        <f aca="false">IF($A10="","",IFERROR(VLOOKUP($A10,Transcodifica!$A$5:$J$400,8,FALSE()),""))</f>
        <v/>
      </c>
      <c r="L10" s="6" t="str">
        <f aca="false">IF($A10="","",IFERROR(VLOOKUP($A10,Transcodifica!$A$5:$J$400,9,FALSE()),""))</f>
        <v/>
      </c>
      <c r="M10" s="8" t="str">
        <f aca="false">IF($A10="","",IF($E10="APPROVATO",1,IF($E10="In svolgimento",IF($F10="",0,$F10),0)))</f>
        <v/>
      </c>
      <c r="N10" s="10" t="str">
        <f aca="false">IF(OR($A10="",$I10="NON MAPPATO",$I10=""),"",$L10*$M10)</f>
        <v/>
      </c>
    </row>
    <row r="11" customFormat="false" ht="15" hidden="false" customHeight="false" outlineLevel="0" collapsed="false">
      <c r="A11" s="6"/>
      <c r="B11" s="7"/>
      <c r="C11" s="6"/>
      <c r="D11" s="6"/>
      <c r="E11" s="6"/>
      <c r="F11" s="8"/>
      <c r="G11" s="9"/>
      <c r="H11" s="7"/>
      <c r="I11" s="6" t="str">
        <f aca="false">IF($A11="","",IFERROR(VLOOKUP($A11,Transcodifica!$A$5:$J$400,5,FALSE()),"NON MAPPATO"))</f>
        <v/>
      </c>
      <c r="J11" s="6" t="str">
        <f aca="false">IF($A11="","",IFERROR(VLOOKUP($A11,Transcodifica!$A$5:$J$400,7,FALSE()),""))</f>
        <v/>
      </c>
      <c r="K11" s="6" t="str">
        <f aca="false">IF($A11="","",IFERROR(VLOOKUP($A11,Transcodifica!$A$5:$J$400,8,FALSE()),""))</f>
        <v/>
      </c>
      <c r="L11" s="6" t="str">
        <f aca="false">IF($A11="","",IFERROR(VLOOKUP($A11,Transcodifica!$A$5:$J$400,9,FALSE()),""))</f>
        <v/>
      </c>
      <c r="M11" s="8" t="str">
        <f aca="false">IF($A11="","",IF($E11="APPROVATO",1,IF($E11="In svolgimento",IF($F11="",0,$F11),0)))</f>
        <v/>
      </c>
      <c r="N11" s="10" t="str">
        <f aca="false">IF(OR($A11="",$I11="NON MAPPATO",$I11=""),"",$L11*$M11)</f>
        <v/>
      </c>
    </row>
    <row r="12" customFormat="false" ht="15" hidden="false" customHeight="false" outlineLevel="0" collapsed="false">
      <c r="A12" s="6"/>
      <c r="B12" s="7"/>
      <c r="C12" s="6"/>
      <c r="D12" s="6"/>
      <c r="E12" s="6"/>
      <c r="F12" s="8"/>
      <c r="G12" s="9"/>
      <c r="H12" s="7"/>
      <c r="I12" s="6" t="str">
        <f aca="false">IF($A12="","",IFERROR(VLOOKUP($A12,Transcodifica!$A$5:$J$400,5,FALSE()),"NON MAPPATO"))</f>
        <v/>
      </c>
      <c r="J12" s="6" t="str">
        <f aca="false">IF($A12="","",IFERROR(VLOOKUP($A12,Transcodifica!$A$5:$J$400,7,FALSE()),""))</f>
        <v/>
      </c>
      <c r="K12" s="6" t="str">
        <f aca="false">IF($A12="","",IFERROR(VLOOKUP($A12,Transcodifica!$A$5:$J$400,8,FALSE()),""))</f>
        <v/>
      </c>
      <c r="L12" s="6" t="str">
        <f aca="false">IF($A12="","",IFERROR(VLOOKUP($A12,Transcodifica!$A$5:$J$400,9,FALSE()),""))</f>
        <v/>
      </c>
      <c r="M12" s="8" t="str">
        <f aca="false">IF($A12="","",IF($E12="APPROVATO",1,IF($E12="In svolgimento",IF($F12="",0,$F12),0)))</f>
        <v/>
      </c>
      <c r="N12" s="10" t="str">
        <f aca="false">IF(OR($A12="",$I12="NON MAPPATO",$I12=""),"",$L12*$M12)</f>
        <v/>
      </c>
    </row>
    <row r="13" customFormat="false" ht="15" hidden="false" customHeight="false" outlineLevel="0" collapsed="false">
      <c r="A13" s="6"/>
      <c r="B13" s="7"/>
      <c r="C13" s="6"/>
      <c r="D13" s="6"/>
      <c r="E13" s="6"/>
      <c r="F13" s="8"/>
      <c r="G13" s="9"/>
      <c r="H13" s="7"/>
      <c r="I13" s="6" t="str">
        <f aca="false">IF($A13="","",IFERROR(VLOOKUP($A13,Transcodifica!$A$5:$J$400,5,FALSE()),"NON MAPPATO"))</f>
        <v/>
      </c>
      <c r="J13" s="6" t="str">
        <f aca="false">IF($A13="","",IFERROR(VLOOKUP($A13,Transcodifica!$A$5:$J$400,7,FALSE()),""))</f>
        <v/>
      </c>
      <c r="K13" s="6" t="str">
        <f aca="false">IF($A13="","",IFERROR(VLOOKUP($A13,Transcodifica!$A$5:$J$400,8,FALSE()),""))</f>
        <v/>
      </c>
      <c r="L13" s="6" t="str">
        <f aca="false">IF($A13="","",IFERROR(VLOOKUP($A13,Transcodifica!$A$5:$J$400,9,FALSE()),""))</f>
        <v/>
      </c>
      <c r="M13" s="8" t="str">
        <f aca="false">IF($A13="","",IF($E13="APPROVATO",1,IF($E13="In svolgimento",IF($F13="",0,$F13),0)))</f>
        <v/>
      </c>
      <c r="N13" s="10" t="str">
        <f aca="false">IF(OR($A13="",$I13="NON MAPPATO",$I13=""),"",$L13*$M13)</f>
        <v/>
      </c>
    </row>
    <row r="14" customFormat="false" ht="15" hidden="false" customHeight="false" outlineLevel="0" collapsed="false">
      <c r="A14" s="6"/>
      <c r="B14" s="7"/>
      <c r="C14" s="6"/>
      <c r="D14" s="6"/>
      <c r="E14" s="6"/>
      <c r="F14" s="8"/>
      <c r="G14" s="9"/>
      <c r="H14" s="7"/>
      <c r="I14" s="6" t="str">
        <f aca="false">IF($A14="","",IFERROR(VLOOKUP($A14,Transcodifica!$A$5:$J$400,5,FALSE()),"NON MAPPATO"))</f>
        <v/>
      </c>
      <c r="J14" s="6" t="str">
        <f aca="false">IF($A14="","",IFERROR(VLOOKUP($A14,Transcodifica!$A$5:$J$400,7,FALSE()),""))</f>
        <v/>
      </c>
      <c r="K14" s="6" t="str">
        <f aca="false">IF($A14="","",IFERROR(VLOOKUP($A14,Transcodifica!$A$5:$J$400,8,FALSE()),""))</f>
        <v/>
      </c>
      <c r="L14" s="6" t="str">
        <f aca="false">IF($A14="","",IFERROR(VLOOKUP($A14,Transcodifica!$A$5:$J$400,9,FALSE()),""))</f>
        <v/>
      </c>
      <c r="M14" s="8" t="str">
        <f aca="false">IF($A14="","",IF($E14="APPROVATO",1,IF($E14="In svolgimento",IF($F14="",0,$F14),0)))</f>
        <v/>
      </c>
      <c r="N14" s="10" t="str">
        <f aca="false">IF(OR($A14="",$I14="NON MAPPATO",$I14=""),"",$L14*$M14)</f>
        <v/>
      </c>
    </row>
    <row r="15" customFormat="false" ht="15" hidden="false" customHeight="false" outlineLevel="0" collapsed="false">
      <c r="A15" s="6"/>
      <c r="B15" s="7"/>
      <c r="C15" s="6"/>
      <c r="D15" s="6"/>
      <c r="E15" s="6"/>
      <c r="F15" s="8"/>
      <c r="G15" s="9"/>
      <c r="H15" s="7"/>
      <c r="I15" s="6" t="str">
        <f aca="false">IF($A15="","",IFERROR(VLOOKUP($A15,Transcodifica!$A$5:$J$400,5,FALSE()),"NON MAPPATO"))</f>
        <v/>
      </c>
      <c r="J15" s="6" t="str">
        <f aca="false">IF($A15="","",IFERROR(VLOOKUP($A15,Transcodifica!$A$5:$J$400,7,FALSE()),""))</f>
        <v/>
      </c>
      <c r="K15" s="6" t="str">
        <f aca="false">IF($A15="","",IFERROR(VLOOKUP($A15,Transcodifica!$A$5:$J$400,8,FALSE()),""))</f>
        <v/>
      </c>
      <c r="L15" s="6" t="str">
        <f aca="false">IF($A15="","",IFERROR(VLOOKUP($A15,Transcodifica!$A$5:$J$400,9,FALSE()),""))</f>
        <v/>
      </c>
      <c r="M15" s="8" t="str">
        <f aca="false">IF($A15="","",IF($E15="APPROVATO",1,IF($E15="In svolgimento",IF($F15="",0,$F15),0)))</f>
        <v/>
      </c>
      <c r="N15" s="10" t="str">
        <f aca="false">IF(OR($A15="",$I15="NON MAPPATO",$I15=""),"",$L15*$M15)</f>
        <v/>
      </c>
    </row>
    <row r="16" customFormat="false" ht="15" hidden="false" customHeight="false" outlineLevel="0" collapsed="false">
      <c r="A16" s="6"/>
      <c r="B16" s="7"/>
      <c r="C16" s="6"/>
      <c r="D16" s="6"/>
      <c r="E16" s="6"/>
      <c r="F16" s="8"/>
      <c r="G16" s="9"/>
      <c r="H16" s="7"/>
      <c r="I16" s="6" t="str">
        <f aca="false">IF($A16="","",IFERROR(VLOOKUP($A16,Transcodifica!$A$5:$J$400,5,FALSE()),"NON MAPPATO"))</f>
        <v/>
      </c>
      <c r="J16" s="6" t="str">
        <f aca="false">IF($A16="","",IFERROR(VLOOKUP($A16,Transcodifica!$A$5:$J$400,7,FALSE()),""))</f>
        <v/>
      </c>
      <c r="K16" s="6" t="str">
        <f aca="false">IF($A16="","",IFERROR(VLOOKUP($A16,Transcodifica!$A$5:$J$400,8,FALSE()),""))</f>
        <v/>
      </c>
      <c r="L16" s="6" t="str">
        <f aca="false">IF($A16="","",IFERROR(VLOOKUP($A16,Transcodifica!$A$5:$J$400,9,FALSE()),""))</f>
        <v/>
      </c>
      <c r="M16" s="8" t="str">
        <f aca="false">IF($A16="","",IF($E16="APPROVATO",1,IF($E16="In svolgimento",IF($F16="",0,$F16),0)))</f>
        <v/>
      </c>
      <c r="N16" s="10" t="str">
        <f aca="false">IF(OR($A16="",$I16="NON MAPPATO",$I16=""),"",$L16*$M16)</f>
        <v/>
      </c>
    </row>
    <row r="17" customFormat="false" ht="15" hidden="false" customHeight="false" outlineLevel="0" collapsed="false">
      <c r="A17" s="6"/>
      <c r="B17" s="7"/>
      <c r="C17" s="6"/>
      <c r="D17" s="6"/>
      <c r="E17" s="6"/>
      <c r="F17" s="8"/>
      <c r="G17" s="9"/>
      <c r="H17" s="7"/>
      <c r="I17" s="6" t="str">
        <f aca="false">IF($A17="","",IFERROR(VLOOKUP($A17,Transcodifica!$A$5:$J$400,5,FALSE()),"NON MAPPATO"))</f>
        <v/>
      </c>
      <c r="J17" s="6" t="str">
        <f aca="false">IF($A17="","",IFERROR(VLOOKUP($A17,Transcodifica!$A$5:$J$400,7,FALSE()),""))</f>
        <v/>
      </c>
      <c r="K17" s="6" t="str">
        <f aca="false">IF($A17="","",IFERROR(VLOOKUP($A17,Transcodifica!$A$5:$J$400,8,FALSE()),""))</f>
        <v/>
      </c>
      <c r="L17" s="6" t="str">
        <f aca="false">IF($A17="","",IFERROR(VLOOKUP($A17,Transcodifica!$A$5:$J$400,9,FALSE()),""))</f>
        <v/>
      </c>
      <c r="M17" s="8" t="str">
        <f aca="false">IF($A17="","",IF($E17="APPROVATO",1,IF($E17="In svolgimento",IF($F17="",0,$F17),0)))</f>
        <v/>
      </c>
      <c r="N17" s="10" t="str">
        <f aca="false">IF(OR($A17="",$I17="NON MAPPATO",$I17=""),"",$L17*$M17)</f>
        <v/>
      </c>
    </row>
    <row r="18" customFormat="false" ht="15" hidden="false" customHeight="false" outlineLevel="0" collapsed="false">
      <c r="A18" s="6"/>
      <c r="B18" s="7"/>
      <c r="C18" s="6"/>
      <c r="D18" s="6"/>
      <c r="E18" s="6"/>
      <c r="F18" s="8"/>
      <c r="G18" s="9"/>
      <c r="H18" s="7"/>
      <c r="I18" s="6" t="str">
        <f aca="false">IF($A18="","",IFERROR(VLOOKUP($A18,Transcodifica!$A$5:$J$400,5,FALSE()),"NON MAPPATO"))</f>
        <v/>
      </c>
      <c r="J18" s="6" t="str">
        <f aca="false">IF($A18="","",IFERROR(VLOOKUP($A18,Transcodifica!$A$5:$J$400,7,FALSE()),""))</f>
        <v/>
      </c>
      <c r="K18" s="6" t="str">
        <f aca="false">IF($A18="","",IFERROR(VLOOKUP($A18,Transcodifica!$A$5:$J$400,8,FALSE()),""))</f>
        <v/>
      </c>
      <c r="L18" s="6" t="str">
        <f aca="false">IF($A18="","",IFERROR(VLOOKUP($A18,Transcodifica!$A$5:$J$400,9,FALSE()),""))</f>
        <v/>
      </c>
      <c r="M18" s="8" t="str">
        <f aca="false">IF($A18="","",IF($E18="APPROVATO",1,IF($E18="In svolgimento",IF($F18="",0,$F18),0)))</f>
        <v/>
      </c>
      <c r="N18" s="10" t="str">
        <f aca="false">IF(OR($A18="",$I18="NON MAPPATO",$I18=""),"",$L18*$M18)</f>
        <v/>
      </c>
    </row>
    <row r="19" customFormat="false" ht="15" hidden="false" customHeight="false" outlineLevel="0" collapsed="false">
      <c r="A19" s="6"/>
      <c r="B19" s="7"/>
      <c r="C19" s="6"/>
      <c r="D19" s="6"/>
      <c r="E19" s="6"/>
      <c r="F19" s="8"/>
      <c r="G19" s="9"/>
      <c r="H19" s="7"/>
      <c r="I19" s="6" t="str">
        <f aca="false">IF($A19="","",IFERROR(VLOOKUP($A19,Transcodifica!$A$5:$J$400,5,FALSE()),"NON MAPPATO"))</f>
        <v/>
      </c>
      <c r="J19" s="6" t="str">
        <f aca="false">IF($A19="","",IFERROR(VLOOKUP($A19,Transcodifica!$A$5:$J$400,7,FALSE()),""))</f>
        <v/>
      </c>
      <c r="K19" s="6" t="str">
        <f aca="false">IF($A19="","",IFERROR(VLOOKUP($A19,Transcodifica!$A$5:$J$400,8,FALSE()),""))</f>
        <v/>
      </c>
      <c r="L19" s="6" t="str">
        <f aca="false">IF($A19="","",IFERROR(VLOOKUP($A19,Transcodifica!$A$5:$J$400,9,FALSE()),""))</f>
        <v/>
      </c>
      <c r="M19" s="8" t="str">
        <f aca="false">IF($A19="","",IF($E19="APPROVATO",1,IF($E19="In svolgimento",IF($F19="",0,$F19),0)))</f>
        <v/>
      </c>
      <c r="N19" s="10" t="str">
        <f aca="false">IF(OR($A19="",$I19="NON MAPPATO",$I19=""),"",$L19*$M19)</f>
        <v/>
      </c>
    </row>
    <row r="20" customFormat="false" ht="15" hidden="false" customHeight="false" outlineLevel="0" collapsed="false">
      <c r="A20" s="6"/>
      <c r="B20" s="7"/>
      <c r="C20" s="6"/>
      <c r="D20" s="6"/>
      <c r="E20" s="6"/>
      <c r="F20" s="8"/>
      <c r="G20" s="9"/>
      <c r="H20" s="7"/>
      <c r="I20" s="6" t="str">
        <f aca="false">IF($A20="","",IFERROR(VLOOKUP($A20,Transcodifica!$A$5:$J$400,5,FALSE()),"NON MAPPATO"))</f>
        <v/>
      </c>
      <c r="J20" s="6" t="str">
        <f aca="false">IF($A20="","",IFERROR(VLOOKUP($A20,Transcodifica!$A$5:$J$400,7,FALSE()),""))</f>
        <v/>
      </c>
      <c r="K20" s="6" t="str">
        <f aca="false">IF($A20="","",IFERROR(VLOOKUP($A20,Transcodifica!$A$5:$J$400,8,FALSE()),""))</f>
        <v/>
      </c>
      <c r="L20" s="6" t="str">
        <f aca="false">IF($A20="","",IFERROR(VLOOKUP($A20,Transcodifica!$A$5:$J$400,9,FALSE()),""))</f>
        <v/>
      </c>
      <c r="M20" s="8" t="str">
        <f aca="false">IF($A20="","",IF($E20="APPROVATO",1,IF($E20="In svolgimento",IF($F20="",0,$F20),0)))</f>
        <v/>
      </c>
      <c r="N20" s="10" t="str">
        <f aca="false">IF(OR($A20="",$I20="NON MAPPATO",$I20=""),"",$L20*$M20)</f>
        <v/>
      </c>
    </row>
    <row r="21" customFormat="false" ht="15" hidden="false" customHeight="false" outlineLevel="0" collapsed="false">
      <c r="A21" s="6"/>
      <c r="B21" s="7"/>
      <c r="C21" s="6"/>
      <c r="D21" s="6"/>
      <c r="E21" s="6"/>
      <c r="F21" s="8"/>
      <c r="G21" s="9"/>
      <c r="H21" s="7"/>
      <c r="I21" s="6" t="str">
        <f aca="false">IF($A21="","",IFERROR(VLOOKUP($A21,Transcodifica!$A$5:$J$400,5,FALSE()),"NON MAPPATO"))</f>
        <v/>
      </c>
      <c r="J21" s="6" t="str">
        <f aca="false">IF($A21="","",IFERROR(VLOOKUP($A21,Transcodifica!$A$5:$J$400,7,FALSE()),""))</f>
        <v/>
      </c>
      <c r="K21" s="6" t="str">
        <f aca="false">IF($A21="","",IFERROR(VLOOKUP($A21,Transcodifica!$A$5:$J$400,8,FALSE()),""))</f>
        <v/>
      </c>
      <c r="L21" s="6" t="str">
        <f aca="false">IF($A21="","",IFERROR(VLOOKUP($A21,Transcodifica!$A$5:$J$400,9,FALSE()),""))</f>
        <v/>
      </c>
      <c r="M21" s="8" t="str">
        <f aca="false">IF($A21="","",IF($E21="APPROVATO",1,IF($E21="In svolgimento",IF($F21="",0,$F21),0)))</f>
        <v/>
      </c>
      <c r="N21" s="10" t="str">
        <f aca="false">IF(OR($A21="",$I21="NON MAPPATO",$I21=""),"",$L21*$M21)</f>
        <v/>
      </c>
    </row>
    <row r="22" customFormat="false" ht="15" hidden="false" customHeight="false" outlineLevel="0" collapsed="false">
      <c r="A22" s="6"/>
      <c r="B22" s="7"/>
      <c r="C22" s="6"/>
      <c r="D22" s="6"/>
      <c r="E22" s="6"/>
      <c r="F22" s="8"/>
      <c r="G22" s="9"/>
      <c r="H22" s="7"/>
      <c r="I22" s="6" t="str">
        <f aca="false">IF($A22="","",IFERROR(VLOOKUP($A22,Transcodifica!$A$5:$J$400,5,FALSE()),"NON MAPPATO"))</f>
        <v/>
      </c>
      <c r="J22" s="6" t="str">
        <f aca="false">IF($A22="","",IFERROR(VLOOKUP($A22,Transcodifica!$A$5:$J$400,7,FALSE()),""))</f>
        <v/>
      </c>
      <c r="K22" s="6" t="str">
        <f aca="false">IF($A22="","",IFERROR(VLOOKUP($A22,Transcodifica!$A$5:$J$400,8,FALSE()),""))</f>
        <v/>
      </c>
      <c r="L22" s="6" t="str">
        <f aca="false">IF($A22="","",IFERROR(VLOOKUP($A22,Transcodifica!$A$5:$J$400,9,FALSE()),""))</f>
        <v/>
      </c>
      <c r="M22" s="8" t="str">
        <f aca="false">IF($A22="","",IF($E22="APPROVATO",1,IF($E22="In svolgimento",IF($F22="",0,$F22),0)))</f>
        <v/>
      </c>
      <c r="N22" s="10" t="str">
        <f aca="false">IF(OR($A22="",$I22="NON MAPPATO",$I22=""),"",$L22*$M22)</f>
        <v/>
      </c>
    </row>
    <row r="23" customFormat="false" ht="15" hidden="false" customHeight="false" outlineLevel="0" collapsed="false">
      <c r="A23" s="6"/>
      <c r="B23" s="7"/>
      <c r="C23" s="6"/>
      <c r="D23" s="6"/>
      <c r="E23" s="6"/>
      <c r="F23" s="8"/>
      <c r="G23" s="9"/>
      <c r="H23" s="7"/>
      <c r="I23" s="6" t="str">
        <f aca="false">IF($A23="","",IFERROR(VLOOKUP($A23,Transcodifica!$A$5:$J$400,5,FALSE()),"NON MAPPATO"))</f>
        <v/>
      </c>
      <c r="J23" s="6" t="str">
        <f aca="false">IF($A23="","",IFERROR(VLOOKUP($A23,Transcodifica!$A$5:$J$400,7,FALSE()),""))</f>
        <v/>
      </c>
      <c r="K23" s="6" t="str">
        <f aca="false">IF($A23="","",IFERROR(VLOOKUP($A23,Transcodifica!$A$5:$J$400,8,FALSE()),""))</f>
        <v/>
      </c>
      <c r="L23" s="6" t="str">
        <f aca="false">IF($A23="","",IFERROR(VLOOKUP($A23,Transcodifica!$A$5:$J$400,9,FALSE()),""))</f>
        <v/>
      </c>
      <c r="M23" s="8" t="str">
        <f aca="false">IF($A23="","",IF($E23="APPROVATO",1,IF($E23="In svolgimento",IF($F23="",0,$F23),0)))</f>
        <v/>
      </c>
      <c r="N23" s="10" t="str">
        <f aca="false">IF(OR($A23="",$I23="NON MAPPATO",$I23=""),"",$L23*$M23)</f>
        <v/>
      </c>
    </row>
    <row r="24" customFormat="false" ht="15" hidden="false" customHeight="false" outlineLevel="0" collapsed="false">
      <c r="A24" s="6"/>
      <c r="B24" s="7"/>
      <c r="C24" s="6"/>
      <c r="D24" s="6"/>
      <c r="E24" s="6"/>
      <c r="F24" s="8"/>
      <c r="G24" s="9"/>
      <c r="H24" s="7"/>
      <c r="I24" s="6" t="str">
        <f aca="false">IF($A24="","",IFERROR(VLOOKUP($A24,Transcodifica!$A$5:$J$400,5,FALSE()),"NON MAPPATO"))</f>
        <v/>
      </c>
      <c r="J24" s="6" t="str">
        <f aca="false">IF($A24="","",IFERROR(VLOOKUP($A24,Transcodifica!$A$5:$J$400,7,FALSE()),""))</f>
        <v/>
      </c>
      <c r="K24" s="6" t="str">
        <f aca="false">IF($A24="","",IFERROR(VLOOKUP($A24,Transcodifica!$A$5:$J$400,8,FALSE()),""))</f>
        <v/>
      </c>
      <c r="L24" s="6" t="str">
        <f aca="false">IF($A24="","",IFERROR(VLOOKUP($A24,Transcodifica!$A$5:$J$400,9,FALSE()),""))</f>
        <v/>
      </c>
      <c r="M24" s="8" t="str">
        <f aca="false">IF($A24="","",IF($E24="APPROVATO",1,IF($E24="In svolgimento",IF($F24="",0,$F24),0)))</f>
        <v/>
      </c>
      <c r="N24" s="10" t="str">
        <f aca="false">IF(OR($A24="",$I24="NON MAPPATO",$I24=""),"",$L24*$M24)</f>
        <v/>
      </c>
    </row>
    <row r="25" customFormat="false" ht="15" hidden="false" customHeight="false" outlineLevel="0" collapsed="false">
      <c r="A25" s="6"/>
      <c r="B25" s="7"/>
      <c r="C25" s="6"/>
      <c r="D25" s="6"/>
      <c r="E25" s="6"/>
      <c r="F25" s="8"/>
      <c r="G25" s="9"/>
      <c r="H25" s="7"/>
      <c r="I25" s="6" t="str">
        <f aca="false">IF($A25="","",IFERROR(VLOOKUP($A25,Transcodifica!$A$5:$J$400,5,FALSE()),"NON MAPPATO"))</f>
        <v/>
      </c>
      <c r="J25" s="6" t="str">
        <f aca="false">IF($A25="","",IFERROR(VLOOKUP($A25,Transcodifica!$A$5:$J$400,7,FALSE()),""))</f>
        <v/>
      </c>
      <c r="K25" s="6" t="str">
        <f aca="false">IF($A25="","",IFERROR(VLOOKUP($A25,Transcodifica!$A$5:$J$400,8,FALSE()),""))</f>
        <v/>
      </c>
      <c r="L25" s="6" t="str">
        <f aca="false">IF($A25="","",IFERROR(VLOOKUP($A25,Transcodifica!$A$5:$J$400,9,FALSE()),""))</f>
        <v/>
      </c>
      <c r="M25" s="8" t="str">
        <f aca="false">IF($A25="","",IF($E25="APPROVATO",1,IF($E25="In svolgimento",IF($F25="",0,$F25),0)))</f>
        <v/>
      </c>
      <c r="N25" s="10" t="str">
        <f aca="false">IF(OR($A25="",$I25="NON MAPPATO",$I25=""),"",$L25*$M25)</f>
        <v/>
      </c>
    </row>
    <row r="26" customFormat="false" ht="15" hidden="false" customHeight="false" outlineLevel="0" collapsed="false">
      <c r="A26" s="6"/>
      <c r="B26" s="7"/>
      <c r="C26" s="6"/>
      <c r="D26" s="6"/>
      <c r="E26" s="6"/>
      <c r="F26" s="8"/>
      <c r="G26" s="9"/>
      <c r="H26" s="7"/>
      <c r="I26" s="6" t="str">
        <f aca="false">IF($A26="","",IFERROR(VLOOKUP($A26,Transcodifica!$A$5:$J$400,5,FALSE()),"NON MAPPATO"))</f>
        <v/>
      </c>
      <c r="J26" s="6" t="str">
        <f aca="false">IF($A26="","",IFERROR(VLOOKUP($A26,Transcodifica!$A$5:$J$400,7,FALSE()),""))</f>
        <v/>
      </c>
      <c r="K26" s="6" t="str">
        <f aca="false">IF($A26="","",IFERROR(VLOOKUP($A26,Transcodifica!$A$5:$J$400,8,FALSE()),""))</f>
        <v/>
      </c>
      <c r="L26" s="6" t="str">
        <f aca="false">IF($A26="","",IFERROR(VLOOKUP($A26,Transcodifica!$A$5:$J$400,9,FALSE()),""))</f>
        <v/>
      </c>
      <c r="M26" s="8" t="str">
        <f aca="false">IF($A26="","",IF($E26="APPROVATO",1,IF($E26="In svolgimento",IF($F26="",0,$F26),0)))</f>
        <v/>
      </c>
      <c r="N26" s="10" t="str">
        <f aca="false">IF(OR($A26="",$I26="NON MAPPATO",$I26=""),"",$L26*$M26)</f>
        <v/>
      </c>
    </row>
    <row r="27" customFormat="false" ht="15" hidden="false" customHeight="false" outlineLevel="0" collapsed="false">
      <c r="A27" s="6"/>
      <c r="B27" s="7"/>
      <c r="C27" s="6"/>
      <c r="D27" s="6"/>
      <c r="E27" s="6"/>
      <c r="F27" s="8"/>
      <c r="G27" s="9"/>
      <c r="H27" s="7"/>
      <c r="I27" s="6" t="str">
        <f aca="false">IF($A27="","",IFERROR(VLOOKUP($A27,Transcodifica!$A$5:$J$400,5,FALSE()),"NON MAPPATO"))</f>
        <v/>
      </c>
      <c r="J27" s="6" t="str">
        <f aca="false">IF($A27="","",IFERROR(VLOOKUP($A27,Transcodifica!$A$5:$J$400,7,FALSE()),""))</f>
        <v/>
      </c>
      <c r="K27" s="6" t="str">
        <f aca="false">IF($A27="","",IFERROR(VLOOKUP($A27,Transcodifica!$A$5:$J$400,8,FALSE()),""))</f>
        <v/>
      </c>
      <c r="L27" s="6" t="str">
        <f aca="false">IF($A27="","",IFERROR(VLOOKUP($A27,Transcodifica!$A$5:$J$400,9,FALSE()),""))</f>
        <v/>
      </c>
      <c r="M27" s="8" t="str">
        <f aca="false">IF($A27="","",IF($E27="APPROVATO",1,IF($E27="In svolgimento",IF($F27="",0,$F27),0)))</f>
        <v/>
      </c>
      <c r="N27" s="10" t="str">
        <f aca="false">IF(OR($A27="",$I27="NON MAPPATO",$I27=""),"",$L27*$M27)</f>
        <v/>
      </c>
    </row>
    <row r="28" customFormat="false" ht="15" hidden="false" customHeight="false" outlineLevel="0" collapsed="false">
      <c r="A28" s="6"/>
      <c r="B28" s="7"/>
      <c r="C28" s="6"/>
      <c r="D28" s="6"/>
      <c r="E28" s="6"/>
      <c r="F28" s="8"/>
      <c r="G28" s="9"/>
      <c r="H28" s="7"/>
      <c r="I28" s="6" t="str">
        <f aca="false">IF($A28="","",IFERROR(VLOOKUP($A28,Transcodifica!$A$5:$J$400,5,FALSE()),"NON MAPPATO"))</f>
        <v/>
      </c>
      <c r="J28" s="6" t="str">
        <f aca="false">IF($A28="","",IFERROR(VLOOKUP($A28,Transcodifica!$A$5:$J$400,7,FALSE()),""))</f>
        <v/>
      </c>
      <c r="K28" s="6" t="str">
        <f aca="false">IF($A28="","",IFERROR(VLOOKUP($A28,Transcodifica!$A$5:$J$400,8,FALSE()),""))</f>
        <v/>
      </c>
      <c r="L28" s="6" t="str">
        <f aca="false">IF($A28="","",IFERROR(VLOOKUP($A28,Transcodifica!$A$5:$J$400,9,FALSE()),""))</f>
        <v/>
      </c>
      <c r="M28" s="8" t="str">
        <f aca="false">IF($A28="","",IF($E28="APPROVATO",1,IF($E28="In svolgimento",IF($F28="",0,$F28),0)))</f>
        <v/>
      </c>
      <c r="N28" s="10" t="str">
        <f aca="false">IF(OR($A28="",$I28="NON MAPPATO",$I28=""),"",$L28*$M28)</f>
        <v/>
      </c>
    </row>
    <row r="29" customFormat="false" ht="15" hidden="false" customHeight="false" outlineLevel="0" collapsed="false">
      <c r="A29" s="6"/>
      <c r="B29" s="7"/>
      <c r="C29" s="6"/>
      <c r="D29" s="6"/>
      <c r="E29" s="6"/>
      <c r="F29" s="8"/>
      <c r="G29" s="9"/>
      <c r="H29" s="7"/>
      <c r="I29" s="6" t="str">
        <f aca="false">IF($A29="","",IFERROR(VLOOKUP($A29,Transcodifica!$A$5:$J$400,5,FALSE()),"NON MAPPATO"))</f>
        <v/>
      </c>
      <c r="J29" s="6" t="str">
        <f aca="false">IF($A29="","",IFERROR(VLOOKUP($A29,Transcodifica!$A$5:$J$400,7,FALSE()),""))</f>
        <v/>
      </c>
      <c r="K29" s="6" t="str">
        <f aca="false">IF($A29="","",IFERROR(VLOOKUP($A29,Transcodifica!$A$5:$J$400,8,FALSE()),""))</f>
        <v/>
      </c>
      <c r="L29" s="6" t="str">
        <f aca="false">IF($A29="","",IFERROR(VLOOKUP($A29,Transcodifica!$A$5:$J$400,9,FALSE()),""))</f>
        <v/>
      </c>
      <c r="M29" s="8" t="str">
        <f aca="false">IF($A29="","",IF($E29="APPROVATO",1,IF($E29="In svolgimento",IF($F29="",0,$F29),0)))</f>
        <v/>
      </c>
      <c r="N29" s="10" t="str">
        <f aca="false">IF(OR($A29="",$I29="NON MAPPATO",$I29=""),"",$L29*$M29)</f>
        <v/>
      </c>
    </row>
    <row r="30" customFormat="false" ht="15" hidden="false" customHeight="false" outlineLevel="0" collapsed="false">
      <c r="A30" s="6"/>
      <c r="B30" s="7"/>
      <c r="C30" s="6"/>
      <c r="D30" s="6"/>
      <c r="E30" s="6"/>
      <c r="F30" s="8"/>
      <c r="G30" s="9"/>
      <c r="H30" s="7"/>
      <c r="I30" s="6" t="str">
        <f aca="false">IF($A30="","",IFERROR(VLOOKUP($A30,Transcodifica!$A$5:$J$400,5,FALSE()),"NON MAPPATO"))</f>
        <v/>
      </c>
      <c r="J30" s="6" t="str">
        <f aca="false">IF($A30="","",IFERROR(VLOOKUP($A30,Transcodifica!$A$5:$J$400,7,FALSE()),""))</f>
        <v/>
      </c>
      <c r="K30" s="6" t="str">
        <f aca="false">IF($A30="","",IFERROR(VLOOKUP($A30,Transcodifica!$A$5:$J$400,8,FALSE()),""))</f>
        <v/>
      </c>
      <c r="L30" s="6" t="str">
        <f aca="false">IF($A30="","",IFERROR(VLOOKUP($A30,Transcodifica!$A$5:$J$400,9,FALSE()),""))</f>
        <v/>
      </c>
      <c r="M30" s="8" t="str">
        <f aca="false">IF($A30="","",IF($E30="APPROVATO",1,IF($E30="In svolgimento",IF($F30="",0,$F30),0)))</f>
        <v/>
      </c>
      <c r="N30" s="10" t="str">
        <f aca="false">IF(OR($A30="",$I30="NON MAPPATO",$I30=""),"",$L30*$M30)</f>
        <v/>
      </c>
    </row>
    <row r="31" customFormat="false" ht="15" hidden="false" customHeight="false" outlineLevel="0" collapsed="false">
      <c r="A31" s="6"/>
      <c r="B31" s="7"/>
      <c r="C31" s="6"/>
      <c r="D31" s="6"/>
      <c r="E31" s="6"/>
      <c r="F31" s="8"/>
      <c r="G31" s="9"/>
      <c r="H31" s="7"/>
      <c r="I31" s="6" t="str">
        <f aca="false">IF($A31="","",IFERROR(VLOOKUP($A31,Transcodifica!$A$5:$J$400,5,FALSE()),"NON MAPPATO"))</f>
        <v/>
      </c>
      <c r="J31" s="6" t="str">
        <f aca="false">IF($A31="","",IFERROR(VLOOKUP($A31,Transcodifica!$A$5:$J$400,7,FALSE()),""))</f>
        <v/>
      </c>
      <c r="K31" s="6" t="str">
        <f aca="false">IF($A31="","",IFERROR(VLOOKUP($A31,Transcodifica!$A$5:$J$400,8,FALSE()),""))</f>
        <v/>
      </c>
      <c r="L31" s="6" t="str">
        <f aca="false">IF($A31="","",IFERROR(VLOOKUP($A31,Transcodifica!$A$5:$J$400,9,FALSE()),""))</f>
        <v/>
      </c>
      <c r="M31" s="8" t="str">
        <f aca="false">IF($A31="","",IF($E31="APPROVATO",1,IF($E31="In svolgimento",IF($F31="",0,$F31),0)))</f>
        <v/>
      </c>
      <c r="N31" s="10" t="str">
        <f aca="false">IF(OR($A31="",$I31="NON MAPPATO",$I31=""),"",$L31*$M31)</f>
        <v/>
      </c>
    </row>
    <row r="32" customFormat="false" ht="15" hidden="false" customHeight="false" outlineLevel="0" collapsed="false">
      <c r="A32" s="6"/>
      <c r="B32" s="7"/>
      <c r="C32" s="6"/>
      <c r="D32" s="6"/>
      <c r="E32" s="6"/>
      <c r="F32" s="8"/>
      <c r="G32" s="9"/>
      <c r="H32" s="7"/>
      <c r="I32" s="6" t="str">
        <f aca="false">IF($A32="","",IFERROR(VLOOKUP($A32,Transcodifica!$A$5:$J$400,5,FALSE()),"NON MAPPATO"))</f>
        <v/>
      </c>
      <c r="J32" s="6" t="str">
        <f aca="false">IF($A32="","",IFERROR(VLOOKUP($A32,Transcodifica!$A$5:$J$400,7,FALSE()),""))</f>
        <v/>
      </c>
      <c r="K32" s="6" t="str">
        <f aca="false">IF($A32="","",IFERROR(VLOOKUP($A32,Transcodifica!$A$5:$J$400,8,FALSE()),""))</f>
        <v/>
      </c>
      <c r="L32" s="6" t="str">
        <f aca="false">IF($A32="","",IFERROR(VLOOKUP($A32,Transcodifica!$A$5:$J$400,9,FALSE()),""))</f>
        <v/>
      </c>
      <c r="M32" s="8" t="str">
        <f aca="false">IF($A32="","",IF($E32="APPROVATO",1,IF($E32="In svolgimento",IF($F32="",0,$F32),0)))</f>
        <v/>
      </c>
      <c r="N32" s="10" t="str">
        <f aca="false">IF(OR($A32="",$I32="NON MAPPATO",$I32=""),"",$L32*$M32)</f>
        <v/>
      </c>
    </row>
    <row r="33" customFormat="false" ht="15" hidden="false" customHeight="false" outlineLevel="0" collapsed="false">
      <c r="A33" s="6"/>
      <c r="B33" s="7"/>
      <c r="C33" s="6"/>
      <c r="D33" s="6"/>
      <c r="E33" s="6"/>
      <c r="F33" s="8"/>
      <c r="G33" s="9"/>
      <c r="H33" s="7"/>
      <c r="I33" s="6" t="str">
        <f aca="false">IF($A33="","",IFERROR(VLOOKUP($A33,Transcodifica!$A$5:$J$400,5,FALSE()),"NON MAPPATO"))</f>
        <v/>
      </c>
      <c r="J33" s="6" t="str">
        <f aca="false">IF($A33="","",IFERROR(VLOOKUP($A33,Transcodifica!$A$5:$J$400,7,FALSE()),""))</f>
        <v/>
      </c>
      <c r="K33" s="6" t="str">
        <f aca="false">IF($A33="","",IFERROR(VLOOKUP($A33,Transcodifica!$A$5:$J$400,8,FALSE()),""))</f>
        <v/>
      </c>
      <c r="L33" s="6" t="str">
        <f aca="false">IF($A33="","",IFERROR(VLOOKUP($A33,Transcodifica!$A$5:$J$400,9,FALSE()),""))</f>
        <v/>
      </c>
      <c r="M33" s="8" t="str">
        <f aca="false">IF($A33="","",IF($E33="APPROVATO",1,IF($E33="In svolgimento",IF($F33="",0,$F33),0)))</f>
        <v/>
      </c>
      <c r="N33" s="10" t="str">
        <f aca="false">IF(OR($A33="",$I33="NON MAPPATO",$I33=""),"",$L33*$M33)</f>
        <v/>
      </c>
    </row>
    <row r="34" customFormat="false" ht="15" hidden="false" customHeight="false" outlineLevel="0" collapsed="false">
      <c r="A34" s="6"/>
      <c r="B34" s="7"/>
      <c r="C34" s="6"/>
      <c r="D34" s="6"/>
      <c r="E34" s="6"/>
      <c r="F34" s="8"/>
      <c r="G34" s="9"/>
      <c r="H34" s="7"/>
      <c r="I34" s="6" t="str">
        <f aca="false">IF($A34="","",IFERROR(VLOOKUP($A34,Transcodifica!$A$5:$J$400,5,FALSE()),"NON MAPPATO"))</f>
        <v/>
      </c>
      <c r="J34" s="6" t="str">
        <f aca="false">IF($A34="","",IFERROR(VLOOKUP($A34,Transcodifica!$A$5:$J$400,7,FALSE()),""))</f>
        <v/>
      </c>
      <c r="K34" s="6" t="str">
        <f aca="false">IF($A34="","",IFERROR(VLOOKUP($A34,Transcodifica!$A$5:$J$400,8,FALSE()),""))</f>
        <v/>
      </c>
      <c r="L34" s="6" t="str">
        <f aca="false">IF($A34="","",IFERROR(VLOOKUP($A34,Transcodifica!$A$5:$J$400,9,FALSE()),""))</f>
        <v/>
      </c>
      <c r="M34" s="8" t="str">
        <f aca="false">IF($A34="","",IF($E34="APPROVATO",1,IF($E34="In svolgimento",IF($F34="",0,$F34),0)))</f>
        <v/>
      </c>
      <c r="N34" s="10" t="str">
        <f aca="false">IF(OR($A34="",$I34="NON MAPPATO",$I34=""),"",$L34*$M34)</f>
        <v/>
      </c>
    </row>
    <row r="35" customFormat="false" ht="15" hidden="false" customHeight="false" outlineLevel="0" collapsed="false">
      <c r="A35" s="6"/>
      <c r="B35" s="7"/>
      <c r="C35" s="6"/>
      <c r="D35" s="6"/>
      <c r="E35" s="6"/>
      <c r="F35" s="8"/>
      <c r="G35" s="9"/>
      <c r="H35" s="7"/>
      <c r="I35" s="6" t="str">
        <f aca="false">IF($A35="","",IFERROR(VLOOKUP($A35,Transcodifica!$A$5:$J$400,5,FALSE()),"NON MAPPATO"))</f>
        <v/>
      </c>
      <c r="J35" s="6" t="str">
        <f aca="false">IF($A35="","",IFERROR(VLOOKUP($A35,Transcodifica!$A$5:$J$400,7,FALSE()),""))</f>
        <v/>
      </c>
      <c r="K35" s="6" t="str">
        <f aca="false">IF($A35="","",IFERROR(VLOOKUP($A35,Transcodifica!$A$5:$J$400,8,FALSE()),""))</f>
        <v/>
      </c>
      <c r="L35" s="6" t="str">
        <f aca="false">IF($A35="","",IFERROR(VLOOKUP($A35,Transcodifica!$A$5:$J$400,9,FALSE()),""))</f>
        <v/>
      </c>
      <c r="M35" s="8" t="str">
        <f aca="false">IF($A35="","",IF($E35="APPROVATO",1,IF($E35="In svolgimento",IF($F35="",0,$F35),0)))</f>
        <v/>
      </c>
      <c r="N35" s="10" t="str">
        <f aca="false">IF(OR($A35="",$I35="NON MAPPATO",$I35=""),"",$L35*$M35)</f>
        <v/>
      </c>
    </row>
    <row r="36" customFormat="false" ht="15" hidden="false" customHeight="false" outlineLevel="0" collapsed="false">
      <c r="A36" s="6"/>
      <c r="B36" s="7"/>
      <c r="C36" s="6"/>
      <c r="D36" s="6"/>
      <c r="E36" s="6"/>
      <c r="F36" s="8"/>
      <c r="G36" s="9"/>
      <c r="H36" s="7"/>
      <c r="I36" s="6" t="str">
        <f aca="false">IF($A36="","",IFERROR(VLOOKUP($A36,Transcodifica!$A$5:$J$400,5,FALSE()),"NON MAPPATO"))</f>
        <v/>
      </c>
      <c r="J36" s="6" t="str">
        <f aca="false">IF($A36="","",IFERROR(VLOOKUP($A36,Transcodifica!$A$5:$J$400,7,FALSE()),""))</f>
        <v/>
      </c>
      <c r="K36" s="6" t="str">
        <f aca="false">IF($A36="","",IFERROR(VLOOKUP($A36,Transcodifica!$A$5:$J$400,8,FALSE()),""))</f>
        <v/>
      </c>
      <c r="L36" s="6" t="str">
        <f aca="false">IF($A36="","",IFERROR(VLOOKUP($A36,Transcodifica!$A$5:$J$400,9,FALSE()),""))</f>
        <v/>
      </c>
      <c r="M36" s="8" t="str">
        <f aca="false">IF($A36="","",IF($E36="APPROVATO",1,IF($E36="In svolgimento",IF($F36="",0,$F36),0)))</f>
        <v/>
      </c>
      <c r="N36" s="10" t="str">
        <f aca="false">IF(OR($A36="",$I36="NON MAPPATO",$I36=""),"",$L36*$M36)</f>
        <v/>
      </c>
    </row>
    <row r="37" customFormat="false" ht="15" hidden="false" customHeight="false" outlineLevel="0" collapsed="false">
      <c r="A37" s="6"/>
      <c r="B37" s="7"/>
      <c r="C37" s="6"/>
      <c r="D37" s="6"/>
      <c r="E37" s="6"/>
      <c r="F37" s="8"/>
      <c r="G37" s="9"/>
      <c r="H37" s="7"/>
      <c r="I37" s="6" t="str">
        <f aca="false">IF($A37="","",IFERROR(VLOOKUP($A37,Transcodifica!$A$5:$J$400,5,FALSE()),"NON MAPPATO"))</f>
        <v/>
      </c>
      <c r="J37" s="6" t="str">
        <f aca="false">IF($A37="","",IFERROR(VLOOKUP($A37,Transcodifica!$A$5:$J$400,7,FALSE()),""))</f>
        <v/>
      </c>
      <c r="K37" s="6" t="str">
        <f aca="false">IF($A37="","",IFERROR(VLOOKUP($A37,Transcodifica!$A$5:$J$400,8,FALSE()),""))</f>
        <v/>
      </c>
      <c r="L37" s="6" t="str">
        <f aca="false">IF($A37="","",IFERROR(VLOOKUP($A37,Transcodifica!$A$5:$J$400,9,FALSE()),""))</f>
        <v/>
      </c>
      <c r="M37" s="8" t="str">
        <f aca="false">IF($A37="","",IF($E37="APPROVATO",1,IF($E37="In svolgimento",IF($F37="",0,$F37),0)))</f>
        <v/>
      </c>
      <c r="N37" s="10" t="str">
        <f aca="false">IF(OR($A37="",$I37="NON MAPPATO",$I37=""),"",$L37*$M37)</f>
        <v/>
      </c>
    </row>
    <row r="38" customFormat="false" ht="15" hidden="false" customHeight="false" outlineLevel="0" collapsed="false">
      <c r="A38" s="6"/>
      <c r="B38" s="7"/>
      <c r="C38" s="6"/>
      <c r="D38" s="6"/>
      <c r="E38" s="6"/>
      <c r="F38" s="8"/>
      <c r="G38" s="9"/>
      <c r="H38" s="7"/>
      <c r="I38" s="6" t="str">
        <f aca="false">IF($A38="","",IFERROR(VLOOKUP($A38,Transcodifica!$A$5:$J$400,5,FALSE()),"NON MAPPATO"))</f>
        <v/>
      </c>
      <c r="J38" s="6" t="str">
        <f aca="false">IF($A38="","",IFERROR(VLOOKUP($A38,Transcodifica!$A$5:$J$400,7,FALSE()),""))</f>
        <v/>
      </c>
      <c r="K38" s="6" t="str">
        <f aca="false">IF($A38="","",IFERROR(VLOOKUP($A38,Transcodifica!$A$5:$J$400,8,FALSE()),""))</f>
        <v/>
      </c>
      <c r="L38" s="6" t="str">
        <f aca="false">IF($A38="","",IFERROR(VLOOKUP($A38,Transcodifica!$A$5:$J$400,9,FALSE()),""))</f>
        <v/>
      </c>
      <c r="M38" s="8" t="str">
        <f aca="false">IF($A38="","",IF($E38="APPROVATO",1,IF($E38="In svolgimento",IF($F38="",0,$F38),0)))</f>
        <v/>
      </c>
      <c r="N38" s="10" t="str">
        <f aca="false">IF(OR($A38="",$I38="NON MAPPATO",$I38=""),"",$L38*$M38)</f>
        <v/>
      </c>
    </row>
    <row r="39" customFormat="false" ht="15" hidden="false" customHeight="false" outlineLevel="0" collapsed="false">
      <c r="A39" s="6"/>
      <c r="B39" s="7"/>
      <c r="C39" s="6"/>
      <c r="D39" s="6"/>
      <c r="E39" s="6"/>
      <c r="F39" s="8"/>
      <c r="G39" s="9"/>
      <c r="H39" s="7"/>
      <c r="I39" s="6" t="str">
        <f aca="false">IF($A39="","",IFERROR(VLOOKUP($A39,Transcodifica!$A$5:$J$400,5,FALSE()),"NON MAPPATO"))</f>
        <v/>
      </c>
      <c r="J39" s="6" t="str">
        <f aca="false">IF($A39="","",IFERROR(VLOOKUP($A39,Transcodifica!$A$5:$J$400,7,FALSE()),""))</f>
        <v/>
      </c>
      <c r="K39" s="6" t="str">
        <f aca="false">IF($A39="","",IFERROR(VLOOKUP($A39,Transcodifica!$A$5:$J$400,8,FALSE()),""))</f>
        <v/>
      </c>
      <c r="L39" s="6" t="str">
        <f aca="false">IF($A39="","",IFERROR(VLOOKUP($A39,Transcodifica!$A$5:$J$400,9,FALSE()),""))</f>
        <v/>
      </c>
      <c r="M39" s="8" t="str">
        <f aca="false">IF($A39="","",IF($E39="APPROVATO",1,IF($E39="In svolgimento",IF($F39="",0,$F39),0)))</f>
        <v/>
      </c>
      <c r="N39" s="10" t="str">
        <f aca="false">IF(OR($A39="",$I39="NON MAPPATO",$I39=""),"",$L39*$M39)</f>
        <v/>
      </c>
    </row>
    <row r="40" customFormat="false" ht="15" hidden="false" customHeight="false" outlineLevel="0" collapsed="false">
      <c r="A40" s="6"/>
      <c r="B40" s="7"/>
      <c r="C40" s="6"/>
      <c r="D40" s="6"/>
      <c r="E40" s="6"/>
      <c r="F40" s="8"/>
      <c r="G40" s="9"/>
      <c r="H40" s="7"/>
      <c r="I40" s="6" t="str">
        <f aca="false">IF($A40="","",IFERROR(VLOOKUP($A40,Transcodifica!$A$5:$J$400,5,FALSE()),"NON MAPPATO"))</f>
        <v/>
      </c>
      <c r="J40" s="6" t="str">
        <f aca="false">IF($A40="","",IFERROR(VLOOKUP($A40,Transcodifica!$A$5:$J$400,7,FALSE()),""))</f>
        <v/>
      </c>
      <c r="K40" s="6" t="str">
        <f aca="false">IF($A40="","",IFERROR(VLOOKUP($A40,Transcodifica!$A$5:$J$400,8,FALSE()),""))</f>
        <v/>
      </c>
      <c r="L40" s="6" t="str">
        <f aca="false">IF($A40="","",IFERROR(VLOOKUP($A40,Transcodifica!$A$5:$J$400,9,FALSE()),""))</f>
        <v/>
      </c>
      <c r="M40" s="8" t="str">
        <f aca="false">IF($A40="","",IF($E40="APPROVATO",1,IF($E40="In svolgimento",IF($F40="",0,$F40),0)))</f>
        <v/>
      </c>
      <c r="N40" s="10" t="str">
        <f aca="false">IF(OR($A40="",$I40="NON MAPPATO",$I40=""),"",$L40*$M40)</f>
        <v/>
      </c>
    </row>
    <row r="41" customFormat="false" ht="15" hidden="false" customHeight="false" outlineLevel="0" collapsed="false">
      <c r="A41" s="6"/>
      <c r="B41" s="7"/>
      <c r="C41" s="6"/>
      <c r="D41" s="6"/>
      <c r="E41" s="6"/>
      <c r="F41" s="8"/>
      <c r="G41" s="9"/>
      <c r="H41" s="7"/>
      <c r="I41" s="6" t="str">
        <f aca="false">IF($A41="","",IFERROR(VLOOKUP($A41,Transcodifica!$A$5:$J$400,5,FALSE()),"NON MAPPATO"))</f>
        <v/>
      </c>
      <c r="J41" s="6" t="str">
        <f aca="false">IF($A41="","",IFERROR(VLOOKUP($A41,Transcodifica!$A$5:$J$400,7,FALSE()),""))</f>
        <v/>
      </c>
      <c r="K41" s="6" t="str">
        <f aca="false">IF($A41="","",IFERROR(VLOOKUP($A41,Transcodifica!$A$5:$J$400,8,FALSE()),""))</f>
        <v/>
      </c>
      <c r="L41" s="6" t="str">
        <f aca="false">IF($A41="","",IFERROR(VLOOKUP($A41,Transcodifica!$A$5:$J$400,9,FALSE()),""))</f>
        <v/>
      </c>
      <c r="M41" s="8" t="str">
        <f aca="false">IF($A41="","",IF($E41="APPROVATO",1,IF($E41="In svolgimento",IF($F41="",0,$F41),0)))</f>
        <v/>
      </c>
      <c r="N41" s="10" t="str">
        <f aca="false">IF(OR($A41="",$I41="NON MAPPATO",$I41=""),"",$L41*$M41)</f>
        <v/>
      </c>
    </row>
    <row r="42" customFormat="false" ht="15" hidden="false" customHeight="false" outlineLevel="0" collapsed="false">
      <c r="A42" s="6"/>
      <c r="B42" s="7"/>
      <c r="C42" s="6"/>
      <c r="D42" s="6"/>
      <c r="E42" s="6"/>
      <c r="F42" s="8"/>
      <c r="G42" s="9"/>
      <c r="H42" s="7"/>
      <c r="I42" s="6" t="str">
        <f aca="false">IF($A42="","",IFERROR(VLOOKUP($A42,Transcodifica!$A$5:$J$400,5,FALSE()),"NON MAPPATO"))</f>
        <v/>
      </c>
      <c r="J42" s="6" t="str">
        <f aca="false">IF($A42="","",IFERROR(VLOOKUP($A42,Transcodifica!$A$5:$J$400,7,FALSE()),""))</f>
        <v/>
      </c>
      <c r="K42" s="6" t="str">
        <f aca="false">IF($A42="","",IFERROR(VLOOKUP($A42,Transcodifica!$A$5:$J$400,8,FALSE()),""))</f>
        <v/>
      </c>
      <c r="L42" s="6" t="str">
        <f aca="false">IF($A42="","",IFERROR(VLOOKUP($A42,Transcodifica!$A$5:$J$400,9,FALSE()),""))</f>
        <v/>
      </c>
      <c r="M42" s="8" t="str">
        <f aca="false">IF($A42="","",IF($E42="APPROVATO",1,IF($E42="In svolgimento",IF($F42="",0,$F42),0)))</f>
        <v/>
      </c>
      <c r="N42" s="10" t="str">
        <f aca="false">IF(OR($A42="",$I42="NON MAPPATO",$I42=""),"",$L42*$M42)</f>
        <v/>
      </c>
    </row>
    <row r="43" customFormat="false" ht="15" hidden="false" customHeight="false" outlineLevel="0" collapsed="false">
      <c r="A43" s="6"/>
      <c r="B43" s="7"/>
      <c r="C43" s="6"/>
      <c r="D43" s="6"/>
      <c r="E43" s="6"/>
      <c r="F43" s="8"/>
      <c r="G43" s="9"/>
      <c r="H43" s="7"/>
      <c r="I43" s="6" t="str">
        <f aca="false">IF($A43="","",IFERROR(VLOOKUP($A43,Transcodifica!$A$5:$J$400,5,FALSE()),"NON MAPPATO"))</f>
        <v/>
      </c>
      <c r="J43" s="6" t="str">
        <f aca="false">IF($A43="","",IFERROR(VLOOKUP($A43,Transcodifica!$A$5:$J$400,7,FALSE()),""))</f>
        <v/>
      </c>
      <c r="K43" s="6" t="str">
        <f aca="false">IF($A43="","",IFERROR(VLOOKUP($A43,Transcodifica!$A$5:$J$400,8,FALSE()),""))</f>
        <v/>
      </c>
      <c r="L43" s="6" t="str">
        <f aca="false">IF($A43="","",IFERROR(VLOOKUP($A43,Transcodifica!$A$5:$J$400,9,FALSE()),""))</f>
        <v/>
      </c>
      <c r="M43" s="8" t="str">
        <f aca="false">IF($A43="","",IF($E43="APPROVATO",1,IF($E43="In svolgimento",IF($F43="",0,$F43),0)))</f>
        <v/>
      </c>
      <c r="N43" s="10" t="str">
        <f aca="false">IF(OR($A43="",$I43="NON MAPPATO",$I43=""),"",$L43*$M43)</f>
        <v/>
      </c>
    </row>
    <row r="44" customFormat="false" ht="15" hidden="false" customHeight="false" outlineLevel="0" collapsed="false">
      <c r="A44" s="6"/>
      <c r="B44" s="7"/>
      <c r="C44" s="6"/>
      <c r="D44" s="6"/>
      <c r="E44" s="6"/>
      <c r="F44" s="8"/>
      <c r="G44" s="9"/>
      <c r="H44" s="7"/>
      <c r="I44" s="6" t="str">
        <f aca="false">IF($A44="","",IFERROR(VLOOKUP($A44,Transcodifica!$A$5:$J$400,5,FALSE()),"NON MAPPATO"))</f>
        <v/>
      </c>
      <c r="J44" s="6" t="str">
        <f aca="false">IF($A44="","",IFERROR(VLOOKUP($A44,Transcodifica!$A$5:$J$400,7,FALSE()),""))</f>
        <v/>
      </c>
      <c r="K44" s="6" t="str">
        <f aca="false">IF($A44="","",IFERROR(VLOOKUP($A44,Transcodifica!$A$5:$J$400,8,FALSE()),""))</f>
        <v/>
      </c>
      <c r="L44" s="6" t="str">
        <f aca="false">IF($A44="","",IFERROR(VLOOKUP($A44,Transcodifica!$A$5:$J$400,9,FALSE()),""))</f>
        <v/>
      </c>
      <c r="M44" s="8" t="str">
        <f aca="false">IF($A44="","",IF($E44="APPROVATO",1,IF($E44="In svolgimento",IF($F44="",0,$F44),0)))</f>
        <v/>
      </c>
      <c r="N44" s="10" t="str">
        <f aca="false">IF(OR($A44="",$I44="NON MAPPATO",$I44=""),"",$L44*$M44)</f>
        <v/>
      </c>
    </row>
    <row r="45" customFormat="false" ht="15" hidden="false" customHeight="false" outlineLevel="0" collapsed="false">
      <c r="A45" s="6"/>
      <c r="B45" s="7"/>
      <c r="C45" s="6"/>
      <c r="D45" s="6"/>
      <c r="E45" s="6"/>
      <c r="F45" s="8"/>
      <c r="G45" s="9"/>
      <c r="H45" s="7"/>
      <c r="I45" s="6" t="str">
        <f aca="false">IF($A45="","",IFERROR(VLOOKUP($A45,Transcodifica!$A$5:$J$400,5,FALSE()),"NON MAPPATO"))</f>
        <v/>
      </c>
      <c r="J45" s="6" t="str">
        <f aca="false">IF($A45="","",IFERROR(VLOOKUP($A45,Transcodifica!$A$5:$J$400,7,FALSE()),""))</f>
        <v/>
      </c>
      <c r="K45" s="6" t="str">
        <f aca="false">IF($A45="","",IFERROR(VLOOKUP($A45,Transcodifica!$A$5:$J$400,8,FALSE()),""))</f>
        <v/>
      </c>
      <c r="L45" s="6" t="str">
        <f aca="false">IF($A45="","",IFERROR(VLOOKUP($A45,Transcodifica!$A$5:$J$400,9,FALSE()),""))</f>
        <v/>
      </c>
      <c r="M45" s="8" t="str">
        <f aca="false">IF($A45="","",IF($E45="APPROVATO",1,IF($E45="In svolgimento",IF($F45="",0,$F45),0)))</f>
        <v/>
      </c>
      <c r="N45" s="10" t="str">
        <f aca="false">IF(OR($A45="",$I45="NON MAPPATO",$I45=""),"",$L45*$M45)</f>
        <v/>
      </c>
    </row>
    <row r="46" customFormat="false" ht="15" hidden="false" customHeight="false" outlineLevel="0" collapsed="false">
      <c r="A46" s="6"/>
      <c r="B46" s="7"/>
      <c r="C46" s="6"/>
      <c r="D46" s="6"/>
      <c r="E46" s="6"/>
      <c r="F46" s="8"/>
      <c r="G46" s="9"/>
      <c r="H46" s="7"/>
      <c r="I46" s="6" t="str">
        <f aca="false">IF($A46="","",IFERROR(VLOOKUP($A46,Transcodifica!$A$5:$J$400,5,FALSE()),"NON MAPPATO"))</f>
        <v/>
      </c>
      <c r="J46" s="6" t="str">
        <f aca="false">IF($A46="","",IFERROR(VLOOKUP($A46,Transcodifica!$A$5:$J$400,7,FALSE()),""))</f>
        <v/>
      </c>
      <c r="K46" s="6" t="str">
        <f aca="false">IF($A46="","",IFERROR(VLOOKUP($A46,Transcodifica!$A$5:$J$400,8,FALSE()),""))</f>
        <v/>
      </c>
      <c r="L46" s="6" t="str">
        <f aca="false">IF($A46="","",IFERROR(VLOOKUP($A46,Transcodifica!$A$5:$J$400,9,FALSE()),""))</f>
        <v/>
      </c>
      <c r="M46" s="8" t="str">
        <f aca="false">IF($A46="","",IF($E46="APPROVATO",1,IF($E46="In svolgimento",IF($F46="",0,$F46),0)))</f>
        <v/>
      </c>
      <c r="N46" s="10" t="str">
        <f aca="false">IF(OR($A46="",$I46="NON MAPPATO",$I46=""),"",$L46*$M46)</f>
        <v/>
      </c>
    </row>
    <row r="47" customFormat="false" ht="15" hidden="false" customHeight="false" outlineLevel="0" collapsed="false">
      <c r="A47" s="6"/>
      <c r="B47" s="7"/>
      <c r="C47" s="6"/>
      <c r="D47" s="6"/>
      <c r="E47" s="6"/>
      <c r="F47" s="8"/>
      <c r="G47" s="9"/>
      <c r="H47" s="7"/>
      <c r="I47" s="6" t="str">
        <f aca="false">IF($A47="","",IFERROR(VLOOKUP($A47,Transcodifica!$A$5:$J$400,5,FALSE()),"NON MAPPATO"))</f>
        <v/>
      </c>
      <c r="J47" s="6" t="str">
        <f aca="false">IF($A47="","",IFERROR(VLOOKUP($A47,Transcodifica!$A$5:$J$400,7,FALSE()),""))</f>
        <v/>
      </c>
      <c r="K47" s="6" t="str">
        <f aca="false">IF($A47="","",IFERROR(VLOOKUP($A47,Transcodifica!$A$5:$J$400,8,FALSE()),""))</f>
        <v/>
      </c>
      <c r="L47" s="6" t="str">
        <f aca="false">IF($A47="","",IFERROR(VLOOKUP($A47,Transcodifica!$A$5:$J$400,9,FALSE()),""))</f>
        <v/>
      </c>
      <c r="M47" s="8" t="str">
        <f aca="false">IF($A47="","",IF($E47="APPROVATO",1,IF($E47="In svolgimento",IF($F47="",0,$F47),0)))</f>
        <v/>
      </c>
      <c r="N47" s="10" t="str">
        <f aca="false">IF(OR($A47="",$I47="NON MAPPATO",$I47=""),"",$L47*$M47)</f>
        <v/>
      </c>
    </row>
    <row r="48" customFormat="false" ht="15" hidden="false" customHeight="false" outlineLevel="0" collapsed="false">
      <c r="A48" s="6"/>
      <c r="B48" s="7"/>
      <c r="C48" s="6"/>
      <c r="D48" s="6"/>
      <c r="E48" s="6"/>
      <c r="F48" s="8"/>
      <c r="G48" s="9"/>
      <c r="H48" s="7"/>
      <c r="I48" s="6" t="str">
        <f aca="false">IF($A48="","",IFERROR(VLOOKUP($A48,Transcodifica!$A$5:$J$400,5,FALSE()),"NON MAPPATO"))</f>
        <v/>
      </c>
      <c r="J48" s="6" t="str">
        <f aca="false">IF($A48="","",IFERROR(VLOOKUP($A48,Transcodifica!$A$5:$J$400,7,FALSE()),""))</f>
        <v/>
      </c>
      <c r="K48" s="6" t="str">
        <f aca="false">IF($A48="","",IFERROR(VLOOKUP($A48,Transcodifica!$A$5:$J$400,8,FALSE()),""))</f>
        <v/>
      </c>
      <c r="L48" s="6" t="str">
        <f aca="false">IF($A48="","",IFERROR(VLOOKUP($A48,Transcodifica!$A$5:$J$400,9,FALSE()),""))</f>
        <v/>
      </c>
      <c r="M48" s="8" t="str">
        <f aca="false">IF($A48="","",IF($E48="APPROVATO",1,IF($E48="In svolgimento",IF($F48="",0,$F48),0)))</f>
        <v/>
      </c>
      <c r="N48" s="10" t="str">
        <f aca="false">IF(OR($A48="",$I48="NON MAPPATO",$I48=""),"",$L48*$M48)</f>
        <v/>
      </c>
    </row>
    <row r="49" customFormat="false" ht="15" hidden="false" customHeight="false" outlineLevel="0" collapsed="false">
      <c r="A49" s="6"/>
      <c r="B49" s="7"/>
      <c r="C49" s="6"/>
      <c r="D49" s="6"/>
      <c r="E49" s="6"/>
      <c r="F49" s="8"/>
      <c r="G49" s="9"/>
      <c r="H49" s="7"/>
      <c r="I49" s="6" t="str">
        <f aca="false">IF($A49="","",IFERROR(VLOOKUP($A49,Transcodifica!$A$5:$J$400,5,FALSE()),"NON MAPPATO"))</f>
        <v/>
      </c>
      <c r="J49" s="6" t="str">
        <f aca="false">IF($A49="","",IFERROR(VLOOKUP($A49,Transcodifica!$A$5:$J$400,7,FALSE()),""))</f>
        <v/>
      </c>
      <c r="K49" s="6" t="str">
        <f aca="false">IF($A49="","",IFERROR(VLOOKUP($A49,Transcodifica!$A$5:$J$400,8,FALSE()),""))</f>
        <v/>
      </c>
      <c r="L49" s="6" t="str">
        <f aca="false">IF($A49="","",IFERROR(VLOOKUP($A49,Transcodifica!$A$5:$J$400,9,FALSE()),""))</f>
        <v/>
      </c>
      <c r="M49" s="8" t="str">
        <f aca="false">IF($A49="","",IF($E49="APPROVATO",1,IF($E49="In svolgimento",IF($F49="",0,$F49),0)))</f>
        <v/>
      </c>
      <c r="N49" s="10" t="str">
        <f aca="false">IF(OR($A49="",$I49="NON MAPPATO",$I49=""),"",$L49*$M49)</f>
        <v/>
      </c>
    </row>
    <row r="50" customFormat="false" ht="15" hidden="false" customHeight="false" outlineLevel="0" collapsed="false">
      <c r="A50" s="6"/>
      <c r="B50" s="7"/>
      <c r="C50" s="6"/>
      <c r="D50" s="6"/>
      <c r="E50" s="6"/>
      <c r="F50" s="8"/>
      <c r="G50" s="9"/>
      <c r="H50" s="7"/>
      <c r="I50" s="6" t="str">
        <f aca="false">IF($A50="","",IFERROR(VLOOKUP($A50,Transcodifica!$A$5:$J$400,5,FALSE()),"NON MAPPATO"))</f>
        <v/>
      </c>
      <c r="J50" s="6" t="str">
        <f aca="false">IF($A50="","",IFERROR(VLOOKUP($A50,Transcodifica!$A$5:$J$400,7,FALSE()),""))</f>
        <v/>
      </c>
      <c r="K50" s="6" t="str">
        <f aca="false">IF($A50="","",IFERROR(VLOOKUP($A50,Transcodifica!$A$5:$J$400,8,FALSE()),""))</f>
        <v/>
      </c>
      <c r="L50" s="6" t="str">
        <f aca="false">IF($A50="","",IFERROR(VLOOKUP($A50,Transcodifica!$A$5:$J$400,9,FALSE()),""))</f>
        <v/>
      </c>
      <c r="M50" s="8" t="str">
        <f aca="false">IF($A50="","",IF($E50="APPROVATO",1,IF($E50="In svolgimento",IF($F50="",0,$F50),0)))</f>
        <v/>
      </c>
      <c r="N50" s="10" t="str">
        <f aca="false">IF(OR($A50="",$I50="NON MAPPATO",$I50=""),"",$L50*$M50)</f>
        <v/>
      </c>
    </row>
    <row r="51" customFormat="false" ht="15" hidden="false" customHeight="false" outlineLevel="0" collapsed="false">
      <c r="A51" s="6"/>
      <c r="B51" s="7"/>
      <c r="C51" s="6"/>
      <c r="D51" s="6"/>
      <c r="E51" s="6"/>
      <c r="F51" s="8"/>
      <c r="G51" s="9"/>
      <c r="H51" s="7"/>
      <c r="I51" s="6" t="str">
        <f aca="false">IF($A51="","",IFERROR(VLOOKUP($A51,Transcodifica!$A$5:$J$400,5,FALSE()),"NON MAPPATO"))</f>
        <v/>
      </c>
      <c r="J51" s="6" t="str">
        <f aca="false">IF($A51="","",IFERROR(VLOOKUP($A51,Transcodifica!$A$5:$J$400,7,FALSE()),""))</f>
        <v/>
      </c>
      <c r="K51" s="6" t="str">
        <f aca="false">IF($A51="","",IFERROR(VLOOKUP($A51,Transcodifica!$A$5:$J$400,8,FALSE()),""))</f>
        <v/>
      </c>
      <c r="L51" s="6" t="str">
        <f aca="false">IF($A51="","",IFERROR(VLOOKUP($A51,Transcodifica!$A$5:$J$400,9,FALSE()),""))</f>
        <v/>
      </c>
      <c r="M51" s="8" t="str">
        <f aca="false">IF($A51="","",IF($E51="APPROVATO",1,IF($E51="In svolgimento",IF($F51="",0,$F51),0)))</f>
        <v/>
      </c>
      <c r="N51" s="10" t="str">
        <f aca="false">IF(OR($A51="",$I51="NON MAPPATO",$I51=""),"",$L51*$M51)</f>
        <v/>
      </c>
    </row>
    <row r="52" customFormat="false" ht="15" hidden="false" customHeight="false" outlineLevel="0" collapsed="false">
      <c r="A52" s="6"/>
      <c r="B52" s="7"/>
      <c r="C52" s="6"/>
      <c r="D52" s="6"/>
      <c r="E52" s="6"/>
      <c r="F52" s="8"/>
      <c r="G52" s="9"/>
      <c r="H52" s="7"/>
      <c r="I52" s="6" t="str">
        <f aca="false">IF($A52="","",IFERROR(VLOOKUP($A52,Transcodifica!$A$5:$J$400,5,FALSE()),"NON MAPPATO"))</f>
        <v/>
      </c>
      <c r="J52" s="6" t="str">
        <f aca="false">IF($A52="","",IFERROR(VLOOKUP($A52,Transcodifica!$A$5:$J$400,7,FALSE()),""))</f>
        <v/>
      </c>
      <c r="K52" s="6" t="str">
        <f aca="false">IF($A52="","",IFERROR(VLOOKUP($A52,Transcodifica!$A$5:$J$400,8,FALSE()),""))</f>
        <v/>
      </c>
      <c r="L52" s="6" t="str">
        <f aca="false">IF($A52="","",IFERROR(VLOOKUP($A52,Transcodifica!$A$5:$J$400,9,FALSE()),""))</f>
        <v/>
      </c>
      <c r="M52" s="8" t="str">
        <f aca="false">IF($A52="","",IF($E52="APPROVATO",1,IF($E52="In svolgimento",IF($F52="",0,$F52),0)))</f>
        <v/>
      </c>
      <c r="N52" s="10" t="str">
        <f aca="false">IF(OR($A52="",$I52="NON MAPPATO",$I52=""),"",$L52*$M52)</f>
        <v/>
      </c>
    </row>
    <row r="53" customFormat="false" ht="15" hidden="false" customHeight="false" outlineLevel="0" collapsed="false">
      <c r="A53" s="6"/>
      <c r="B53" s="7"/>
      <c r="C53" s="6"/>
      <c r="D53" s="6"/>
      <c r="E53" s="6"/>
      <c r="F53" s="8"/>
      <c r="G53" s="9"/>
      <c r="H53" s="7"/>
      <c r="I53" s="6" t="str">
        <f aca="false">IF($A53="","",IFERROR(VLOOKUP($A53,Transcodifica!$A$5:$J$400,5,FALSE()),"NON MAPPATO"))</f>
        <v/>
      </c>
      <c r="J53" s="6" t="str">
        <f aca="false">IF($A53="","",IFERROR(VLOOKUP($A53,Transcodifica!$A$5:$J$400,7,FALSE()),""))</f>
        <v/>
      </c>
      <c r="K53" s="6" t="str">
        <f aca="false">IF($A53="","",IFERROR(VLOOKUP($A53,Transcodifica!$A$5:$J$400,8,FALSE()),""))</f>
        <v/>
      </c>
      <c r="L53" s="6" t="str">
        <f aca="false">IF($A53="","",IFERROR(VLOOKUP($A53,Transcodifica!$A$5:$J$400,9,FALSE()),""))</f>
        <v/>
      </c>
      <c r="M53" s="8" t="str">
        <f aca="false">IF($A53="","",IF($E53="APPROVATO",1,IF($E53="In svolgimento",IF($F53="",0,$F53),0)))</f>
        <v/>
      </c>
      <c r="N53" s="10" t="str">
        <f aca="false">IF(OR($A53="",$I53="NON MAPPATO",$I53=""),"",$L53*$M53)</f>
        <v/>
      </c>
    </row>
    <row r="54" customFormat="false" ht="15" hidden="false" customHeight="false" outlineLevel="0" collapsed="false">
      <c r="A54" s="6"/>
      <c r="B54" s="7"/>
      <c r="C54" s="6"/>
      <c r="D54" s="6"/>
      <c r="E54" s="6"/>
      <c r="F54" s="8"/>
      <c r="G54" s="9"/>
      <c r="H54" s="7"/>
      <c r="I54" s="6" t="str">
        <f aca="false">IF($A54="","",IFERROR(VLOOKUP($A54,Transcodifica!$A$5:$J$400,5,FALSE()),"NON MAPPATO"))</f>
        <v/>
      </c>
      <c r="J54" s="6" t="str">
        <f aca="false">IF($A54="","",IFERROR(VLOOKUP($A54,Transcodifica!$A$5:$J$400,7,FALSE()),""))</f>
        <v/>
      </c>
      <c r="K54" s="6" t="str">
        <f aca="false">IF($A54="","",IFERROR(VLOOKUP($A54,Transcodifica!$A$5:$J$400,8,FALSE()),""))</f>
        <v/>
      </c>
      <c r="L54" s="6" t="str">
        <f aca="false">IF($A54="","",IFERROR(VLOOKUP($A54,Transcodifica!$A$5:$J$400,9,FALSE()),""))</f>
        <v/>
      </c>
      <c r="M54" s="8" t="str">
        <f aca="false">IF($A54="","",IF($E54="APPROVATO",1,IF($E54="In svolgimento",IF($F54="",0,$F54),0)))</f>
        <v/>
      </c>
      <c r="N54" s="10" t="str">
        <f aca="false">IF(OR($A54="",$I54="NON MAPPATO",$I54=""),"",$L54*$M54)</f>
        <v/>
      </c>
    </row>
    <row r="55" customFormat="false" ht="15" hidden="false" customHeight="false" outlineLevel="0" collapsed="false">
      <c r="A55" s="6"/>
      <c r="B55" s="7"/>
      <c r="C55" s="6"/>
      <c r="D55" s="6"/>
      <c r="E55" s="6"/>
      <c r="F55" s="8"/>
      <c r="G55" s="9"/>
      <c r="H55" s="7"/>
      <c r="I55" s="6" t="str">
        <f aca="false">IF($A55="","",IFERROR(VLOOKUP($A55,Transcodifica!$A$5:$J$400,5,FALSE()),"NON MAPPATO"))</f>
        <v/>
      </c>
      <c r="J55" s="6" t="str">
        <f aca="false">IF($A55="","",IFERROR(VLOOKUP($A55,Transcodifica!$A$5:$J$400,7,FALSE()),""))</f>
        <v/>
      </c>
      <c r="K55" s="6" t="str">
        <f aca="false">IF($A55="","",IFERROR(VLOOKUP($A55,Transcodifica!$A$5:$J$400,8,FALSE()),""))</f>
        <v/>
      </c>
      <c r="L55" s="6" t="str">
        <f aca="false">IF($A55="","",IFERROR(VLOOKUP($A55,Transcodifica!$A$5:$J$400,9,FALSE()),""))</f>
        <v/>
      </c>
      <c r="M55" s="8" t="str">
        <f aca="false">IF($A55="","",IF($E55="APPROVATO",1,IF($E55="In svolgimento",IF($F55="",0,$F55),0)))</f>
        <v/>
      </c>
      <c r="N55" s="10" t="str">
        <f aca="false">IF(OR($A55="",$I55="NON MAPPATO",$I55=""),"",$L55*$M55)</f>
        <v/>
      </c>
    </row>
    <row r="56" customFormat="false" ht="15" hidden="false" customHeight="false" outlineLevel="0" collapsed="false">
      <c r="A56" s="6"/>
      <c r="B56" s="7"/>
      <c r="C56" s="6"/>
      <c r="D56" s="6"/>
      <c r="E56" s="6"/>
      <c r="F56" s="8"/>
      <c r="G56" s="9"/>
      <c r="H56" s="7"/>
      <c r="I56" s="6" t="str">
        <f aca="false">IF($A56="","",IFERROR(VLOOKUP($A56,Transcodifica!$A$5:$J$400,5,FALSE()),"NON MAPPATO"))</f>
        <v/>
      </c>
      <c r="J56" s="6" t="str">
        <f aca="false">IF($A56="","",IFERROR(VLOOKUP($A56,Transcodifica!$A$5:$J$400,7,FALSE()),""))</f>
        <v/>
      </c>
      <c r="K56" s="6" t="str">
        <f aca="false">IF($A56="","",IFERROR(VLOOKUP($A56,Transcodifica!$A$5:$J$400,8,FALSE()),""))</f>
        <v/>
      </c>
      <c r="L56" s="6" t="str">
        <f aca="false">IF($A56="","",IFERROR(VLOOKUP($A56,Transcodifica!$A$5:$J$400,9,FALSE()),""))</f>
        <v/>
      </c>
      <c r="M56" s="8" t="str">
        <f aca="false">IF($A56="","",IF($E56="APPROVATO",1,IF($E56="In svolgimento",IF($F56="",0,$F56),0)))</f>
        <v/>
      </c>
      <c r="N56" s="10" t="str">
        <f aca="false">IF(OR($A56="",$I56="NON MAPPATO",$I56=""),"",$L56*$M56)</f>
        <v/>
      </c>
    </row>
    <row r="57" customFormat="false" ht="15" hidden="false" customHeight="false" outlineLevel="0" collapsed="false">
      <c r="A57" s="6"/>
      <c r="B57" s="7"/>
      <c r="C57" s="6"/>
      <c r="D57" s="6"/>
      <c r="E57" s="6"/>
      <c r="F57" s="8"/>
      <c r="G57" s="9"/>
      <c r="H57" s="7"/>
      <c r="I57" s="6" t="str">
        <f aca="false">IF($A57="","",IFERROR(VLOOKUP($A57,Transcodifica!$A$5:$J$400,5,FALSE()),"NON MAPPATO"))</f>
        <v/>
      </c>
      <c r="J57" s="6" t="str">
        <f aca="false">IF($A57="","",IFERROR(VLOOKUP($A57,Transcodifica!$A$5:$J$400,7,FALSE()),""))</f>
        <v/>
      </c>
      <c r="K57" s="6" t="str">
        <f aca="false">IF($A57="","",IFERROR(VLOOKUP($A57,Transcodifica!$A$5:$J$400,8,FALSE()),""))</f>
        <v/>
      </c>
      <c r="L57" s="6" t="str">
        <f aca="false">IF($A57="","",IFERROR(VLOOKUP($A57,Transcodifica!$A$5:$J$400,9,FALSE()),""))</f>
        <v/>
      </c>
      <c r="M57" s="8" t="str">
        <f aca="false">IF($A57="","",IF($E57="APPROVATO",1,IF($E57="In svolgimento",IF($F57="",0,$F57),0)))</f>
        <v/>
      </c>
      <c r="N57" s="10" t="str">
        <f aca="false">IF(OR($A57="",$I57="NON MAPPATO",$I57=""),"",$L57*$M57)</f>
        <v/>
      </c>
    </row>
    <row r="58" customFormat="false" ht="15" hidden="false" customHeight="false" outlineLevel="0" collapsed="false">
      <c r="A58" s="6"/>
      <c r="B58" s="7"/>
      <c r="C58" s="6"/>
      <c r="D58" s="6"/>
      <c r="E58" s="6"/>
      <c r="F58" s="8"/>
      <c r="G58" s="9"/>
      <c r="H58" s="7"/>
      <c r="I58" s="6" t="str">
        <f aca="false">IF($A58="","",IFERROR(VLOOKUP($A58,Transcodifica!$A$5:$J$400,5,FALSE()),"NON MAPPATO"))</f>
        <v/>
      </c>
      <c r="J58" s="6" t="str">
        <f aca="false">IF($A58="","",IFERROR(VLOOKUP($A58,Transcodifica!$A$5:$J$400,7,FALSE()),""))</f>
        <v/>
      </c>
      <c r="K58" s="6" t="str">
        <f aca="false">IF($A58="","",IFERROR(VLOOKUP($A58,Transcodifica!$A$5:$J$400,8,FALSE()),""))</f>
        <v/>
      </c>
      <c r="L58" s="6" t="str">
        <f aca="false">IF($A58="","",IFERROR(VLOOKUP($A58,Transcodifica!$A$5:$J$400,9,FALSE()),""))</f>
        <v/>
      </c>
      <c r="M58" s="8" t="str">
        <f aca="false">IF($A58="","",IF($E58="APPROVATO",1,IF($E58="In svolgimento",IF($F58="",0,$F58),0)))</f>
        <v/>
      </c>
      <c r="N58" s="10" t="str">
        <f aca="false">IF(OR($A58="",$I58="NON MAPPATO",$I58=""),"",$L58*$M58)</f>
        <v/>
      </c>
    </row>
    <row r="59" customFormat="false" ht="15" hidden="false" customHeight="false" outlineLevel="0" collapsed="false">
      <c r="A59" s="6"/>
      <c r="B59" s="7"/>
      <c r="C59" s="6"/>
      <c r="D59" s="6"/>
      <c r="E59" s="6"/>
      <c r="F59" s="8"/>
      <c r="G59" s="9"/>
      <c r="H59" s="7"/>
      <c r="I59" s="6" t="str">
        <f aca="false">IF($A59="","",IFERROR(VLOOKUP($A59,Transcodifica!$A$5:$J$400,5,FALSE()),"NON MAPPATO"))</f>
        <v/>
      </c>
      <c r="J59" s="6" t="str">
        <f aca="false">IF($A59="","",IFERROR(VLOOKUP($A59,Transcodifica!$A$5:$J$400,7,FALSE()),""))</f>
        <v/>
      </c>
      <c r="K59" s="6" t="str">
        <f aca="false">IF($A59="","",IFERROR(VLOOKUP($A59,Transcodifica!$A$5:$J$400,8,FALSE()),""))</f>
        <v/>
      </c>
      <c r="L59" s="6" t="str">
        <f aca="false">IF($A59="","",IFERROR(VLOOKUP($A59,Transcodifica!$A$5:$J$400,9,FALSE()),""))</f>
        <v/>
      </c>
      <c r="M59" s="8" t="str">
        <f aca="false">IF($A59="","",IF($E59="APPROVATO",1,IF($E59="In svolgimento",IF($F59="",0,$F59),0)))</f>
        <v/>
      </c>
      <c r="N59" s="10" t="str">
        <f aca="false">IF(OR($A59="",$I59="NON MAPPATO",$I59=""),"",$L59*$M59)</f>
        <v/>
      </c>
    </row>
    <row r="60" customFormat="false" ht="15" hidden="false" customHeight="false" outlineLevel="0" collapsed="false">
      <c r="A60" s="6"/>
      <c r="B60" s="7"/>
      <c r="C60" s="6"/>
      <c r="D60" s="6"/>
      <c r="E60" s="6"/>
      <c r="F60" s="8"/>
      <c r="G60" s="9"/>
      <c r="H60" s="7"/>
      <c r="I60" s="6" t="str">
        <f aca="false">IF($A60="","",IFERROR(VLOOKUP($A60,Transcodifica!$A$5:$J$400,5,FALSE()),"NON MAPPATO"))</f>
        <v/>
      </c>
      <c r="J60" s="6" t="str">
        <f aca="false">IF($A60="","",IFERROR(VLOOKUP($A60,Transcodifica!$A$5:$J$400,7,FALSE()),""))</f>
        <v/>
      </c>
      <c r="K60" s="6" t="str">
        <f aca="false">IF($A60="","",IFERROR(VLOOKUP($A60,Transcodifica!$A$5:$J$400,8,FALSE()),""))</f>
        <v/>
      </c>
      <c r="L60" s="6" t="str">
        <f aca="false">IF($A60="","",IFERROR(VLOOKUP($A60,Transcodifica!$A$5:$J$400,9,FALSE()),""))</f>
        <v/>
      </c>
      <c r="M60" s="8" t="str">
        <f aca="false">IF($A60="","",IF($E60="APPROVATO",1,IF($E60="In svolgimento",IF($F60="",0,$F60),0)))</f>
        <v/>
      </c>
      <c r="N60" s="10" t="str">
        <f aca="false">IF(OR($A60="",$I60="NON MAPPATO",$I60=""),"",$L60*$M60)</f>
        <v/>
      </c>
    </row>
    <row r="61" customFormat="false" ht="15" hidden="false" customHeight="false" outlineLevel="0" collapsed="false">
      <c r="A61" s="6"/>
      <c r="B61" s="7"/>
      <c r="C61" s="6"/>
      <c r="D61" s="6"/>
      <c r="E61" s="6"/>
      <c r="F61" s="8"/>
      <c r="G61" s="9"/>
      <c r="H61" s="7"/>
      <c r="I61" s="6" t="str">
        <f aca="false">IF($A61="","",IFERROR(VLOOKUP($A61,Transcodifica!$A$5:$J$400,5,FALSE()),"NON MAPPATO"))</f>
        <v/>
      </c>
      <c r="J61" s="6" t="str">
        <f aca="false">IF($A61="","",IFERROR(VLOOKUP($A61,Transcodifica!$A$5:$J$400,7,FALSE()),""))</f>
        <v/>
      </c>
      <c r="K61" s="6" t="str">
        <f aca="false">IF($A61="","",IFERROR(VLOOKUP($A61,Transcodifica!$A$5:$J$400,8,FALSE()),""))</f>
        <v/>
      </c>
      <c r="L61" s="6" t="str">
        <f aca="false">IF($A61="","",IFERROR(VLOOKUP($A61,Transcodifica!$A$5:$J$400,9,FALSE()),""))</f>
        <v/>
      </c>
      <c r="M61" s="8" t="str">
        <f aca="false">IF($A61="","",IF($E61="APPROVATO",1,IF($E61="In svolgimento",IF($F61="",0,$F61),0)))</f>
        <v/>
      </c>
      <c r="N61" s="10" t="str">
        <f aca="false">IF(OR($A61="",$I61="NON MAPPATO",$I61=""),"",$L61*$M61)</f>
        <v/>
      </c>
    </row>
    <row r="62" customFormat="false" ht="15" hidden="false" customHeight="false" outlineLevel="0" collapsed="false">
      <c r="A62" s="6"/>
      <c r="B62" s="7"/>
      <c r="C62" s="6"/>
      <c r="D62" s="6"/>
      <c r="E62" s="6"/>
      <c r="F62" s="8"/>
      <c r="G62" s="9"/>
      <c r="H62" s="7"/>
      <c r="I62" s="6" t="str">
        <f aca="false">IF($A62="","",IFERROR(VLOOKUP($A62,Transcodifica!$A$5:$J$400,5,FALSE()),"NON MAPPATO"))</f>
        <v/>
      </c>
      <c r="J62" s="6" t="str">
        <f aca="false">IF($A62="","",IFERROR(VLOOKUP($A62,Transcodifica!$A$5:$J$400,7,FALSE()),""))</f>
        <v/>
      </c>
      <c r="K62" s="6" t="str">
        <f aca="false">IF($A62="","",IFERROR(VLOOKUP($A62,Transcodifica!$A$5:$J$400,8,FALSE()),""))</f>
        <v/>
      </c>
      <c r="L62" s="6" t="str">
        <f aca="false">IF($A62="","",IFERROR(VLOOKUP($A62,Transcodifica!$A$5:$J$400,9,FALSE()),""))</f>
        <v/>
      </c>
      <c r="M62" s="8" t="str">
        <f aca="false">IF($A62="","",IF($E62="APPROVATO",1,IF($E62="In svolgimento",IF($F62="",0,$F62),0)))</f>
        <v/>
      </c>
      <c r="N62" s="10" t="str">
        <f aca="false">IF(OR($A62="",$I62="NON MAPPATO",$I62=""),"",$L62*$M62)</f>
        <v/>
      </c>
    </row>
    <row r="63" customFormat="false" ht="15" hidden="false" customHeight="false" outlineLevel="0" collapsed="false">
      <c r="A63" s="6"/>
      <c r="B63" s="7"/>
      <c r="C63" s="6"/>
      <c r="D63" s="6"/>
      <c r="E63" s="6"/>
      <c r="F63" s="8"/>
      <c r="G63" s="9"/>
      <c r="H63" s="7"/>
      <c r="I63" s="6" t="str">
        <f aca="false">IF($A63="","",IFERROR(VLOOKUP($A63,Transcodifica!$A$5:$J$400,5,FALSE()),"NON MAPPATO"))</f>
        <v/>
      </c>
      <c r="J63" s="6" t="str">
        <f aca="false">IF($A63="","",IFERROR(VLOOKUP($A63,Transcodifica!$A$5:$J$400,7,FALSE()),""))</f>
        <v/>
      </c>
      <c r="K63" s="6" t="str">
        <f aca="false">IF($A63="","",IFERROR(VLOOKUP($A63,Transcodifica!$A$5:$J$400,8,FALSE()),""))</f>
        <v/>
      </c>
      <c r="L63" s="6" t="str">
        <f aca="false">IF($A63="","",IFERROR(VLOOKUP($A63,Transcodifica!$A$5:$J$400,9,FALSE()),""))</f>
        <v/>
      </c>
      <c r="M63" s="8" t="str">
        <f aca="false">IF($A63="","",IF($E63="APPROVATO",1,IF($E63="In svolgimento",IF($F63="",0,$F63),0)))</f>
        <v/>
      </c>
      <c r="N63" s="10" t="str">
        <f aca="false">IF(OR($A63="",$I63="NON MAPPATO",$I63=""),"",$L63*$M63)</f>
        <v/>
      </c>
    </row>
    <row r="64" customFormat="false" ht="15" hidden="false" customHeight="false" outlineLevel="0" collapsed="false">
      <c r="A64" s="6"/>
      <c r="B64" s="7"/>
      <c r="C64" s="6"/>
      <c r="D64" s="6"/>
      <c r="E64" s="6"/>
      <c r="F64" s="8"/>
      <c r="G64" s="9"/>
      <c r="H64" s="7"/>
      <c r="I64" s="6" t="str">
        <f aca="false">IF($A64="","",IFERROR(VLOOKUP($A64,Transcodifica!$A$5:$J$400,5,FALSE()),"NON MAPPATO"))</f>
        <v/>
      </c>
      <c r="J64" s="6" t="str">
        <f aca="false">IF($A64="","",IFERROR(VLOOKUP($A64,Transcodifica!$A$5:$J$400,7,FALSE()),""))</f>
        <v/>
      </c>
      <c r="K64" s="6" t="str">
        <f aca="false">IF($A64="","",IFERROR(VLOOKUP($A64,Transcodifica!$A$5:$J$400,8,FALSE()),""))</f>
        <v/>
      </c>
      <c r="L64" s="6" t="str">
        <f aca="false">IF($A64="","",IFERROR(VLOOKUP($A64,Transcodifica!$A$5:$J$400,9,FALSE()),""))</f>
        <v/>
      </c>
      <c r="M64" s="8" t="str">
        <f aca="false">IF($A64="","",IF($E64="APPROVATO",1,IF($E64="In svolgimento",IF($F64="",0,$F64),0)))</f>
        <v/>
      </c>
      <c r="N64" s="10" t="str">
        <f aca="false">IF(OR($A64="",$I64="NON MAPPATO",$I64=""),"",$L64*$M64)</f>
        <v/>
      </c>
    </row>
    <row r="65" customFormat="false" ht="15" hidden="false" customHeight="false" outlineLevel="0" collapsed="false">
      <c r="A65" s="6"/>
      <c r="B65" s="7"/>
      <c r="C65" s="6"/>
      <c r="D65" s="6"/>
      <c r="E65" s="6"/>
      <c r="F65" s="8"/>
      <c r="G65" s="9"/>
      <c r="H65" s="7"/>
      <c r="I65" s="6" t="str">
        <f aca="false">IF($A65="","",IFERROR(VLOOKUP($A65,Transcodifica!$A$5:$J$400,5,FALSE()),"NON MAPPATO"))</f>
        <v/>
      </c>
      <c r="J65" s="6" t="str">
        <f aca="false">IF($A65="","",IFERROR(VLOOKUP($A65,Transcodifica!$A$5:$J$400,7,FALSE()),""))</f>
        <v/>
      </c>
      <c r="K65" s="6" t="str">
        <f aca="false">IF($A65="","",IFERROR(VLOOKUP($A65,Transcodifica!$A$5:$J$400,8,FALSE()),""))</f>
        <v/>
      </c>
      <c r="L65" s="6" t="str">
        <f aca="false">IF($A65="","",IFERROR(VLOOKUP($A65,Transcodifica!$A$5:$J$400,9,FALSE()),""))</f>
        <v/>
      </c>
      <c r="M65" s="8" t="str">
        <f aca="false">IF($A65="","",IF($E65="APPROVATO",1,IF($E65="In svolgimento",IF($F65="",0,$F65),0)))</f>
        <v/>
      </c>
      <c r="N65" s="10" t="str">
        <f aca="false">IF(OR($A65="",$I65="NON MAPPATO",$I65=""),"",$L65*$M65)</f>
        <v/>
      </c>
    </row>
    <row r="66" customFormat="false" ht="15" hidden="false" customHeight="false" outlineLevel="0" collapsed="false">
      <c r="A66" s="6"/>
      <c r="B66" s="7"/>
      <c r="C66" s="6"/>
      <c r="D66" s="6"/>
      <c r="E66" s="6"/>
      <c r="F66" s="8"/>
      <c r="G66" s="9"/>
      <c r="H66" s="7"/>
      <c r="I66" s="6" t="str">
        <f aca="false">IF($A66="","",IFERROR(VLOOKUP($A66,Transcodifica!$A$5:$J$400,5,FALSE()),"NON MAPPATO"))</f>
        <v/>
      </c>
      <c r="J66" s="6" t="str">
        <f aca="false">IF($A66="","",IFERROR(VLOOKUP($A66,Transcodifica!$A$5:$J$400,7,FALSE()),""))</f>
        <v/>
      </c>
      <c r="K66" s="6" t="str">
        <f aca="false">IF($A66="","",IFERROR(VLOOKUP($A66,Transcodifica!$A$5:$J$400,8,FALSE()),""))</f>
        <v/>
      </c>
      <c r="L66" s="6" t="str">
        <f aca="false">IF($A66="","",IFERROR(VLOOKUP($A66,Transcodifica!$A$5:$J$400,9,FALSE()),""))</f>
        <v/>
      </c>
      <c r="M66" s="8" t="str">
        <f aca="false">IF($A66="","",IF($E66="APPROVATO",1,IF($E66="In svolgimento",IF($F66="",0,$F66),0)))</f>
        <v/>
      </c>
      <c r="N66" s="10" t="str">
        <f aca="false">IF(OR($A66="",$I66="NON MAPPATO",$I66=""),"",$L66*$M66)</f>
        <v/>
      </c>
    </row>
    <row r="67" customFormat="false" ht="15" hidden="false" customHeight="false" outlineLevel="0" collapsed="false">
      <c r="A67" s="6"/>
      <c r="B67" s="7"/>
      <c r="C67" s="6"/>
      <c r="D67" s="6"/>
      <c r="E67" s="6"/>
      <c r="F67" s="8"/>
      <c r="G67" s="9"/>
      <c r="H67" s="7"/>
      <c r="I67" s="6" t="str">
        <f aca="false">IF($A67="","",IFERROR(VLOOKUP($A67,Transcodifica!$A$5:$J$400,5,FALSE()),"NON MAPPATO"))</f>
        <v/>
      </c>
      <c r="J67" s="6" t="str">
        <f aca="false">IF($A67="","",IFERROR(VLOOKUP($A67,Transcodifica!$A$5:$J$400,7,FALSE()),""))</f>
        <v/>
      </c>
      <c r="K67" s="6" t="str">
        <f aca="false">IF($A67="","",IFERROR(VLOOKUP($A67,Transcodifica!$A$5:$J$400,8,FALSE()),""))</f>
        <v/>
      </c>
      <c r="L67" s="6" t="str">
        <f aca="false">IF($A67="","",IFERROR(VLOOKUP($A67,Transcodifica!$A$5:$J$400,9,FALSE()),""))</f>
        <v/>
      </c>
      <c r="M67" s="8" t="str">
        <f aca="false">IF($A67="","",IF($E67="APPROVATO",1,IF($E67="In svolgimento",IF($F67="",0,$F67),0)))</f>
        <v/>
      </c>
      <c r="N67" s="10" t="str">
        <f aca="false">IF(OR($A67="",$I67="NON MAPPATO",$I67=""),"",$L67*$M67)</f>
        <v/>
      </c>
    </row>
    <row r="68" customFormat="false" ht="15" hidden="false" customHeight="false" outlineLevel="0" collapsed="false">
      <c r="A68" s="6"/>
      <c r="B68" s="7"/>
      <c r="C68" s="6"/>
      <c r="D68" s="6"/>
      <c r="E68" s="6"/>
      <c r="F68" s="8"/>
      <c r="G68" s="9"/>
      <c r="H68" s="7"/>
      <c r="I68" s="6" t="str">
        <f aca="false">IF($A68="","",IFERROR(VLOOKUP($A68,Transcodifica!$A$5:$J$400,5,FALSE()),"NON MAPPATO"))</f>
        <v/>
      </c>
      <c r="J68" s="6" t="str">
        <f aca="false">IF($A68="","",IFERROR(VLOOKUP($A68,Transcodifica!$A$5:$J$400,7,FALSE()),""))</f>
        <v/>
      </c>
      <c r="K68" s="6" t="str">
        <f aca="false">IF($A68="","",IFERROR(VLOOKUP($A68,Transcodifica!$A$5:$J$400,8,FALSE()),""))</f>
        <v/>
      </c>
      <c r="L68" s="6" t="str">
        <f aca="false">IF($A68="","",IFERROR(VLOOKUP($A68,Transcodifica!$A$5:$J$400,9,FALSE()),""))</f>
        <v/>
      </c>
      <c r="M68" s="8" t="str">
        <f aca="false">IF($A68="","",IF($E68="APPROVATO",1,IF($E68="In svolgimento",IF($F68="",0,$F68),0)))</f>
        <v/>
      </c>
      <c r="N68" s="10" t="str">
        <f aca="false">IF(OR($A68="",$I68="NON MAPPATO",$I68=""),"",$L68*$M68)</f>
        <v/>
      </c>
    </row>
    <row r="69" customFormat="false" ht="15" hidden="false" customHeight="false" outlineLevel="0" collapsed="false">
      <c r="A69" s="6"/>
      <c r="B69" s="7"/>
      <c r="C69" s="6"/>
      <c r="D69" s="6"/>
      <c r="E69" s="6"/>
      <c r="F69" s="8"/>
      <c r="G69" s="9"/>
      <c r="H69" s="7"/>
      <c r="I69" s="6" t="str">
        <f aca="false">IF($A69="","",IFERROR(VLOOKUP($A69,Transcodifica!$A$5:$J$400,5,FALSE()),"NON MAPPATO"))</f>
        <v/>
      </c>
      <c r="J69" s="6" t="str">
        <f aca="false">IF($A69="","",IFERROR(VLOOKUP($A69,Transcodifica!$A$5:$J$400,7,FALSE()),""))</f>
        <v/>
      </c>
      <c r="K69" s="6" t="str">
        <f aca="false">IF($A69="","",IFERROR(VLOOKUP($A69,Transcodifica!$A$5:$J$400,8,FALSE()),""))</f>
        <v/>
      </c>
      <c r="L69" s="6" t="str">
        <f aca="false">IF($A69="","",IFERROR(VLOOKUP($A69,Transcodifica!$A$5:$J$400,9,FALSE()),""))</f>
        <v/>
      </c>
      <c r="M69" s="8" t="str">
        <f aca="false">IF($A69="","",IF($E69="APPROVATO",1,IF($E69="In svolgimento",IF($F69="",0,$F69),0)))</f>
        <v/>
      </c>
      <c r="N69" s="10" t="str">
        <f aca="false">IF(OR($A69="",$I69="NON MAPPATO",$I69=""),"",$L69*$M69)</f>
        <v/>
      </c>
    </row>
    <row r="70" customFormat="false" ht="15" hidden="false" customHeight="false" outlineLevel="0" collapsed="false">
      <c r="A70" s="6"/>
      <c r="B70" s="7"/>
      <c r="C70" s="6"/>
      <c r="D70" s="6"/>
      <c r="E70" s="6"/>
      <c r="F70" s="8"/>
      <c r="G70" s="9"/>
      <c r="H70" s="7"/>
      <c r="I70" s="6" t="str">
        <f aca="false">IF($A70="","",IFERROR(VLOOKUP($A70,Transcodifica!$A$5:$J$400,5,FALSE()),"NON MAPPATO"))</f>
        <v/>
      </c>
      <c r="J70" s="6" t="str">
        <f aca="false">IF($A70="","",IFERROR(VLOOKUP($A70,Transcodifica!$A$5:$J$400,7,FALSE()),""))</f>
        <v/>
      </c>
      <c r="K70" s="6" t="str">
        <f aca="false">IF($A70="","",IFERROR(VLOOKUP($A70,Transcodifica!$A$5:$J$400,8,FALSE()),""))</f>
        <v/>
      </c>
      <c r="L70" s="6" t="str">
        <f aca="false">IF($A70="","",IFERROR(VLOOKUP($A70,Transcodifica!$A$5:$J$400,9,FALSE()),""))</f>
        <v/>
      </c>
      <c r="M70" s="8" t="str">
        <f aca="false">IF($A70="","",IF($E70="APPROVATO",1,IF($E70="In svolgimento",IF($F70="",0,$F70),0)))</f>
        <v/>
      </c>
      <c r="N70" s="10" t="str">
        <f aca="false">IF(OR($A70="",$I70="NON MAPPATO",$I70=""),"",$L70*$M70)</f>
        <v/>
      </c>
    </row>
    <row r="71" customFormat="false" ht="15" hidden="false" customHeight="false" outlineLevel="0" collapsed="false">
      <c r="A71" s="6"/>
      <c r="B71" s="7"/>
      <c r="C71" s="6"/>
      <c r="D71" s="6"/>
      <c r="E71" s="6"/>
      <c r="F71" s="8"/>
      <c r="G71" s="9"/>
      <c r="H71" s="7"/>
      <c r="I71" s="6" t="str">
        <f aca="false">IF($A71="","",IFERROR(VLOOKUP($A71,Transcodifica!$A$5:$J$400,5,FALSE()),"NON MAPPATO"))</f>
        <v/>
      </c>
      <c r="J71" s="6" t="str">
        <f aca="false">IF($A71="","",IFERROR(VLOOKUP($A71,Transcodifica!$A$5:$J$400,7,FALSE()),""))</f>
        <v/>
      </c>
      <c r="K71" s="6" t="str">
        <f aca="false">IF($A71="","",IFERROR(VLOOKUP($A71,Transcodifica!$A$5:$J$400,8,FALSE()),""))</f>
        <v/>
      </c>
      <c r="L71" s="6" t="str">
        <f aca="false">IF($A71="","",IFERROR(VLOOKUP($A71,Transcodifica!$A$5:$J$400,9,FALSE()),""))</f>
        <v/>
      </c>
      <c r="M71" s="8" t="str">
        <f aca="false">IF($A71="","",IF($E71="APPROVATO",1,IF($E71="In svolgimento",IF($F71="",0,$F71),0)))</f>
        <v/>
      </c>
      <c r="N71" s="10" t="str">
        <f aca="false">IF(OR($A71="",$I71="NON MAPPATO",$I71=""),"",$L71*$M71)</f>
        <v/>
      </c>
    </row>
    <row r="72" customFormat="false" ht="15" hidden="false" customHeight="false" outlineLevel="0" collapsed="false">
      <c r="A72" s="6"/>
      <c r="B72" s="7"/>
      <c r="C72" s="6"/>
      <c r="D72" s="6"/>
      <c r="E72" s="6"/>
      <c r="F72" s="8"/>
      <c r="G72" s="9"/>
      <c r="H72" s="7"/>
      <c r="I72" s="6" t="str">
        <f aca="false">IF($A72="","",IFERROR(VLOOKUP($A72,Transcodifica!$A$5:$J$400,5,FALSE()),"NON MAPPATO"))</f>
        <v/>
      </c>
      <c r="J72" s="6" t="str">
        <f aca="false">IF($A72="","",IFERROR(VLOOKUP($A72,Transcodifica!$A$5:$J$400,7,FALSE()),""))</f>
        <v/>
      </c>
      <c r="K72" s="6" t="str">
        <f aca="false">IF($A72="","",IFERROR(VLOOKUP($A72,Transcodifica!$A$5:$J$400,8,FALSE()),""))</f>
        <v/>
      </c>
      <c r="L72" s="6" t="str">
        <f aca="false">IF($A72="","",IFERROR(VLOOKUP($A72,Transcodifica!$A$5:$J$400,9,FALSE()),""))</f>
        <v/>
      </c>
      <c r="M72" s="8" t="str">
        <f aca="false">IF($A72="","",IF($E72="APPROVATO",1,IF($E72="In svolgimento",IF($F72="",0,$F72),0)))</f>
        <v/>
      </c>
      <c r="N72" s="10" t="str">
        <f aca="false">IF(OR($A72="",$I72="NON MAPPATO",$I72=""),"",$L72*$M72)</f>
        <v/>
      </c>
    </row>
    <row r="73" customFormat="false" ht="15" hidden="false" customHeight="false" outlineLevel="0" collapsed="false">
      <c r="A73" s="6"/>
      <c r="B73" s="7"/>
      <c r="C73" s="6"/>
      <c r="D73" s="6"/>
      <c r="E73" s="6"/>
      <c r="F73" s="8"/>
      <c r="G73" s="9"/>
      <c r="H73" s="7"/>
      <c r="I73" s="6" t="str">
        <f aca="false">IF($A73="","",IFERROR(VLOOKUP($A73,Transcodifica!$A$5:$J$400,5,FALSE()),"NON MAPPATO"))</f>
        <v/>
      </c>
      <c r="J73" s="6" t="str">
        <f aca="false">IF($A73="","",IFERROR(VLOOKUP($A73,Transcodifica!$A$5:$J$400,7,FALSE()),""))</f>
        <v/>
      </c>
      <c r="K73" s="6" t="str">
        <f aca="false">IF($A73="","",IFERROR(VLOOKUP($A73,Transcodifica!$A$5:$J$400,8,FALSE()),""))</f>
        <v/>
      </c>
      <c r="L73" s="6" t="str">
        <f aca="false">IF($A73="","",IFERROR(VLOOKUP($A73,Transcodifica!$A$5:$J$400,9,FALSE()),""))</f>
        <v/>
      </c>
      <c r="M73" s="8" t="str">
        <f aca="false">IF($A73="","",IF($E73="APPROVATO",1,IF($E73="In svolgimento",IF($F73="",0,$F73),0)))</f>
        <v/>
      </c>
      <c r="N73" s="10" t="str">
        <f aca="false">IF(OR($A73="",$I73="NON MAPPATO",$I73=""),"",$L73*$M73)</f>
        <v/>
      </c>
    </row>
    <row r="74" customFormat="false" ht="15" hidden="false" customHeight="false" outlineLevel="0" collapsed="false">
      <c r="A74" s="6"/>
      <c r="B74" s="7"/>
      <c r="C74" s="6"/>
      <c r="D74" s="6"/>
      <c r="E74" s="6"/>
      <c r="F74" s="8"/>
      <c r="G74" s="9"/>
      <c r="H74" s="7"/>
      <c r="I74" s="6" t="str">
        <f aca="false">IF($A74="","",IFERROR(VLOOKUP($A74,Transcodifica!$A$5:$J$400,5,FALSE()),"NON MAPPATO"))</f>
        <v/>
      </c>
      <c r="J74" s="6" t="str">
        <f aca="false">IF($A74="","",IFERROR(VLOOKUP($A74,Transcodifica!$A$5:$J$400,7,FALSE()),""))</f>
        <v/>
      </c>
      <c r="K74" s="6" t="str">
        <f aca="false">IF($A74="","",IFERROR(VLOOKUP($A74,Transcodifica!$A$5:$J$400,8,FALSE()),""))</f>
        <v/>
      </c>
      <c r="L74" s="6" t="str">
        <f aca="false">IF($A74="","",IFERROR(VLOOKUP($A74,Transcodifica!$A$5:$J$400,9,FALSE()),""))</f>
        <v/>
      </c>
      <c r="M74" s="8" t="str">
        <f aca="false">IF($A74="","",IF($E74="APPROVATO",1,IF($E74="In svolgimento",IF($F74="",0,$F74),0)))</f>
        <v/>
      </c>
      <c r="N74" s="10" t="str">
        <f aca="false">IF(OR($A74="",$I74="NON MAPPATO",$I74=""),"",$L74*$M74)</f>
        <v/>
      </c>
    </row>
    <row r="75" customFormat="false" ht="15" hidden="false" customHeight="false" outlineLevel="0" collapsed="false">
      <c r="A75" s="6"/>
      <c r="B75" s="7"/>
      <c r="C75" s="6"/>
      <c r="D75" s="6"/>
      <c r="E75" s="6"/>
      <c r="F75" s="8"/>
      <c r="G75" s="9"/>
      <c r="H75" s="7"/>
      <c r="I75" s="6" t="str">
        <f aca="false">IF($A75="","",IFERROR(VLOOKUP($A75,Transcodifica!$A$5:$J$400,5,FALSE()),"NON MAPPATO"))</f>
        <v/>
      </c>
      <c r="J75" s="6" t="str">
        <f aca="false">IF($A75="","",IFERROR(VLOOKUP($A75,Transcodifica!$A$5:$J$400,7,FALSE()),""))</f>
        <v/>
      </c>
      <c r="K75" s="6" t="str">
        <f aca="false">IF($A75="","",IFERROR(VLOOKUP($A75,Transcodifica!$A$5:$J$400,8,FALSE()),""))</f>
        <v/>
      </c>
      <c r="L75" s="6" t="str">
        <f aca="false">IF($A75="","",IFERROR(VLOOKUP($A75,Transcodifica!$A$5:$J$400,9,FALSE()),""))</f>
        <v/>
      </c>
      <c r="M75" s="8" t="str">
        <f aca="false">IF($A75="","",IF($E75="APPROVATO",1,IF($E75="In svolgimento",IF($F75="",0,$F75),0)))</f>
        <v/>
      </c>
      <c r="N75" s="10" t="str">
        <f aca="false">IF(OR($A75="",$I75="NON MAPPATO",$I75=""),"",$L75*$M75)</f>
        <v/>
      </c>
    </row>
    <row r="76" customFormat="false" ht="15" hidden="false" customHeight="false" outlineLevel="0" collapsed="false">
      <c r="A76" s="6"/>
      <c r="B76" s="7"/>
      <c r="C76" s="6"/>
      <c r="D76" s="6"/>
      <c r="E76" s="6"/>
      <c r="F76" s="8"/>
      <c r="G76" s="9"/>
      <c r="H76" s="7"/>
      <c r="I76" s="6" t="str">
        <f aca="false">IF($A76="","",IFERROR(VLOOKUP($A76,Transcodifica!$A$5:$J$400,5,FALSE()),"NON MAPPATO"))</f>
        <v/>
      </c>
      <c r="J76" s="6" t="str">
        <f aca="false">IF($A76="","",IFERROR(VLOOKUP($A76,Transcodifica!$A$5:$J$400,7,FALSE()),""))</f>
        <v/>
      </c>
      <c r="K76" s="6" t="str">
        <f aca="false">IF($A76="","",IFERROR(VLOOKUP($A76,Transcodifica!$A$5:$J$400,8,FALSE()),""))</f>
        <v/>
      </c>
      <c r="L76" s="6" t="str">
        <f aca="false">IF($A76="","",IFERROR(VLOOKUP($A76,Transcodifica!$A$5:$J$400,9,FALSE()),""))</f>
        <v/>
      </c>
      <c r="M76" s="8" t="str">
        <f aca="false">IF($A76="","",IF($E76="APPROVATO",1,IF($E76="In svolgimento",IF($F76="",0,$F76),0)))</f>
        <v/>
      </c>
      <c r="N76" s="10" t="str">
        <f aca="false">IF(OR($A76="",$I76="NON MAPPATO",$I76=""),"",$L76*$M76)</f>
        <v/>
      </c>
    </row>
    <row r="77" customFormat="false" ht="15" hidden="false" customHeight="false" outlineLevel="0" collapsed="false">
      <c r="A77" s="6"/>
      <c r="B77" s="7"/>
      <c r="C77" s="6"/>
      <c r="D77" s="6"/>
      <c r="E77" s="6"/>
      <c r="F77" s="8"/>
      <c r="G77" s="9"/>
      <c r="H77" s="7"/>
      <c r="I77" s="6" t="str">
        <f aca="false">IF($A77="","",IFERROR(VLOOKUP($A77,Transcodifica!$A$5:$J$400,5,FALSE()),"NON MAPPATO"))</f>
        <v/>
      </c>
      <c r="J77" s="6" t="str">
        <f aca="false">IF($A77="","",IFERROR(VLOOKUP($A77,Transcodifica!$A$5:$J$400,7,FALSE()),""))</f>
        <v/>
      </c>
      <c r="K77" s="6" t="str">
        <f aca="false">IF($A77="","",IFERROR(VLOOKUP($A77,Transcodifica!$A$5:$J$400,8,FALSE()),""))</f>
        <v/>
      </c>
      <c r="L77" s="6" t="str">
        <f aca="false">IF($A77="","",IFERROR(VLOOKUP($A77,Transcodifica!$A$5:$J$400,9,FALSE()),""))</f>
        <v/>
      </c>
      <c r="M77" s="8" t="str">
        <f aca="false">IF($A77="","",IF($E77="APPROVATO",1,IF($E77="In svolgimento",IF($F77="",0,$F77),0)))</f>
        <v/>
      </c>
      <c r="N77" s="10" t="str">
        <f aca="false">IF(OR($A77="",$I77="NON MAPPATO",$I77=""),"",$L77*$M77)</f>
        <v/>
      </c>
    </row>
    <row r="78" customFormat="false" ht="15" hidden="false" customHeight="false" outlineLevel="0" collapsed="false">
      <c r="A78" s="6"/>
      <c r="B78" s="7"/>
      <c r="C78" s="6"/>
      <c r="D78" s="6"/>
      <c r="E78" s="6"/>
      <c r="F78" s="8"/>
      <c r="G78" s="9"/>
      <c r="H78" s="7"/>
      <c r="I78" s="6" t="str">
        <f aca="false">IF($A78="","",IFERROR(VLOOKUP($A78,Transcodifica!$A$5:$J$400,5,FALSE()),"NON MAPPATO"))</f>
        <v/>
      </c>
      <c r="J78" s="6" t="str">
        <f aca="false">IF($A78="","",IFERROR(VLOOKUP($A78,Transcodifica!$A$5:$J$400,7,FALSE()),""))</f>
        <v/>
      </c>
      <c r="K78" s="6" t="str">
        <f aca="false">IF($A78="","",IFERROR(VLOOKUP($A78,Transcodifica!$A$5:$J$400,8,FALSE()),""))</f>
        <v/>
      </c>
      <c r="L78" s="6" t="str">
        <f aca="false">IF($A78="","",IFERROR(VLOOKUP($A78,Transcodifica!$A$5:$J$400,9,FALSE()),""))</f>
        <v/>
      </c>
      <c r="M78" s="8" t="str">
        <f aca="false">IF($A78="","",IF($E78="APPROVATO",1,IF($E78="In svolgimento",IF($F78="",0,$F78),0)))</f>
        <v/>
      </c>
      <c r="N78" s="10" t="str">
        <f aca="false">IF(OR($A78="",$I78="NON MAPPATO",$I78=""),"",$L78*$M78)</f>
        <v/>
      </c>
    </row>
    <row r="79" customFormat="false" ht="15" hidden="false" customHeight="false" outlineLevel="0" collapsed="false">
      <c r="A79" s="6"/>
      <c r="B79" s="7"/>
      <c r="C79" s="6"/>
      <c r="D79" s="6"/>
      <c r="E79" s="6"/>
      <c r="F79" s="8"/>
      <c r="G79" s="9"/>
      <c r="H79" s="7"/>
      <c r="I79" s="6" t="str">
        <f aca="false">IF($A79="","",IFERROR(VLOOKUP($A79,Transcodifica!$A$5:$J$400,5,FALSE()),"NON MAPPATO"))</f>
        <v/>
      </c>
      <c r="J79" s="6" t="str">
        <f aca="false">IF($A79="","",IFERROR(VLOOKUP($A79,Transcodifica!$A$5:$J$400,7,FALSE()),""))</f>
        <v/>
      </c>
      <c r="K79" s="6" t="str">
        <f aca="false">IF($A79="","",IFERROR(VLOOKUP($A79,Transcodifica!$A$5:$J$400,8,FALSE()),""))</f>
        <v/>
      </c>
      <c r="L79" s="6" t="str">
        <f aca="false">IF($A79="","",IFERROR(VLOOKUP($A79,Transcodifica!$A$5:$J$400,9,FALSE()),""))</f>
        <v/>
      </c>
      <c r="M79" s="8" t="str">
        <f aca="false">IF($A79="","",IF($E79="APPROVATO",1,IF($E79="In svolgimento",IF($F79="",0,$F79),0)))</f>
        <v/>
      </c>
      <c r="N79" s="10" t="str">
        <f aca="false">IF(OR($A79="",$I79="NON MAPPATO",$I79=""),"",$L79*$M79)</f>
        <v/>
      </c>
    </row>
    <row r="80" customFormat="false" ht="15" hidden="false" customHeight="false" outlineLevel="0" collapsed="false">
      <c r="A80" s="6"/>
      <c r="B80" s="7"/>
      <c r="C80" s="6"/>
      <c r="D80" s="6"/>
      <c r="E80" s="6"/>
      <c r="F80" s="8"/>
      <c r="G80" s="9"/>
      <c r="H80" s="7"/>
      <c r="I80" s="6" t="str">
        <f aca="false">IF($A80="","",IFERROR(VLOOKUP($A80,Transcodifica!$A$5:$J$400,5,FALSE()),"NON MAPPATO"))</f>
        <v/>
      </c>
      <c r="J80" s="6" t="str">
        <f aca="false">IF($A80="","",IFERROR(VLOOKUP($A80,Transcodifica!$A$5:$J$400,7,FALSE()),""))</f>
        <v/>
      </c>
      <c r="K80" s="6" t="str">
        <f aca="false">IF($A80="","",IFERROR(VLOOKUP($A80,Transcodifica!$A$5:$J$400,8,FALSE()),""))</f>
        <v/>
      </c>
      <c r="L80" s="6" t="str">
        <f aca="false">IF($A80="","",IFERROR(VLOOKUP($A80,Transcodifica!$A$5:$J$400,9,FALSE()),""))</f>
        <v/>
      </c>
      <c r="M80" s="8" t="str">
        <f aca="false">IF($A80="","",IF($E80="APPROVATO",1,IF($E80="In svolgimento",IF($F80="",0,$F80),0)))</f>
        <v/>
      </c>
      <c r="N80" s="10" t="str">
        <f aca="false">IF(OR($A80="",$I80="NON MAPPATO",$I80=""),"",$L80*$M80)</f>
        <v/>
      </c>
    </row>
    <row r="81" customFormat="false" ht="15" hidden="false" customHeight="false" outlineLevel="0" collapsed="false">
      <c r="A81" s="6"/>
      <c r="B81" s="7"/>
      <c r="C81" s="6"/>
      <c r="D81" s="6"/>
      <c r="E81" s="6"/>
      <c r="F81" s="8"/>
      <c r="G81" s="9"/>
      <c r="H81" s="7"/>
      <c r="I81" s="6" t="str">
        <f aca="false">IF($A81="","",IFERROR(VLOOKUP($A81,Transcodifica!$A$5:$J$400,5,FALSE()),"NON MAPPATO"))</f>
        <v/>
      </c>
      <c r="J81" s="6" t="str">
        <f aca="false">IF($A81="","",IFERROR(VLOOKUP($A81,Transcodifica!$A$5:$J$400,7,FALSE()),""))</f>
        <v/>
      </c>
      <c r="K81" s="6" t="str">
        <f aca="false">IF($A81="","",IFERROR(VLOOKUP($A81,Transcodifica!$A$5:$J$400,8,FALSE()),""))</f>
        <v/>
      </c>
      <c r="L81" s="6" t="str">
        <f aca="false">IF($A81="","",IFERROR(VLOOKUP($A81,Transcodifica!$A$5:$J$400,9,FALSE()),""))</f>
        <v/>
      </c>
      <c r="M81" s="8" t="str">
        <f aca="false">IF($A81="","",IF($E81="APPROVATO",1,IF($E81="In svolgimento",IF($F81="",0,$F81),0)))</f>
        <v/>
      </c>
      <c r="N81" s="10" t="str">
        <f aca="false">IF(OR($A81="",$I81="NON MAPPATO",$I81=""),"",$L81*$M81)</f>
        <v/>
      </c>
    </row>
    <row r="82" customFormat="false" ht="15" hidden="false" customHeight="false" outlineLevel="0" collapsed="false">
      <c r="A82" s="6"/>
      <c r="B82" s="7"/>
      <c r="C82" s="6"/>
      <c r="D82" s="6"/>
      <c r="E82" s="6"/>
      <c r="F82" s="8"/>
      <c r="G82" s="9"/>
      <c r="H82" s="7"/>
      <c r="I82" s="6" t="str">
        <f aca="false">IF($A82="","",IFERROR(VLOOKUP($A82,Transcodifica!$A$5:$J$400,5,FALSE()),"NON MAPPATO"))</f>
        <v/>
      </c>
      <c r="J82" s="6" t="str">
        <f aca="false">IF($A82="","",IFERROR(VLOOKUP($A82,Transcodifica!$A$5:$J$400,7,FALSE()),""))</f>
        <v/>
      </c>
      <c r="K82" s="6" t="str">
        <f aca="false">IF($A82="","",IFERROR(VLOOKUP($A82,Transcodifica!$A$5:$J$400,8,FALSE()),""))</f>
        <v/>
      </c>
      <c r="L82" s="6" t="str">
        <f aca="false">IF($A82="","",IFERROR(VLOOKUP($A82,Transcodifica!$A$5:$J$400,9,FALSE()),""))</f>
        <v/>
      </c>
      <c r="M82" s="8" t="str">
        <f aca="false">IF($A82="","",IF($E82="APPROVATO",1,IF($E82="In svolgimento",IF($F82="",0,$F82),0)))</f>
        <v/>
      </c>
      <c r="N82" s="10" t="str">
        <f aca="false">IF(OR($A82="",$I82="NON MAPPATO",$I82=""),"",$L82*$M82)</f>
        <v/>
      </c>
    </row>
    <row r="83" customFormat="false" ht="15" hidden="false" customHeight="false" outlineLevel="0" collapsed="false">
      <c r="A83" s="6"/>
      <c r="B83" s="7"/>
      <c r="C83" s="6"/>
      <c r="D83" s="6"/>
      <c r="E83" s="6"/>
      <c r="F83" s="8"/>
      <c r="G83" s="9"/>
      <c r="H83" s="7"/>
      <c r="I83" s="6" t="str">
        <f aca="false">IF($A83="","",IFERROR(VLOOKUP($A83,Transcodifica!$A$5:$J$400,5,FALSE()),"NON MAPPATO"))</f>
        <v/>
      </c>
      <c r="J83" s="6" t="str">
        <f aca="false">IF($A83="","",IFERROR(VLOOKUP($A83,Transcodifica!$A$5:$J$400,7,FALSE()),""))</f>
        <v/>
      </c>
      <c r="K83" s="6" t="str">
        <f aca="false">IF($A83="","",IFERROR(VLOOKUP($A83,Transcodifica!$A$5:$J$400,8,FALSE()),""))</f>
        <v/>
      </c>
      <c r="L83" s="6" t="str">
        <f aca="false">IF($A83="","",IFERROR(VLOOKUP($A83,Transcodifica!$A$5:$J$400,9,FALSE()),""))</f>
        <v/>
      </c>
      <c r="M83" s="8" t="str">
        <f aca="false">IF($A83="","",IF($E83="APPROVATO",1,IF($E83="In svolgimento",IF($F83="",0,$F83),0)))</f>
        <v/>
      </c>
      <c r="N83" s="10" t="str">
        <f aca="false">IF(OR($A83="",$I83="NON MAPPATO",$I83=""),"",$L83*$M83)</f>
        <v/>
      </c>
    </row>
    <row r="84" customFormat="false" ht="15" hidden="false" customHeight="false" outlineLevel="0" collapsed="false">
      <c r="A84" s="6"/>
      <c r="B84" s="7"/>
      <c r="C84" s="6"/>
      <c r="D84" s="6"/>
      <c r="E84" s="6"/>
      <c r="F84" s="8"/>
      <c r="G84" s="9"/>
      <c r="H84" s="7"/>
      <c r="I84" s="6" t="str">
        <f aca="false">IF($A84="","",IFERROR(VLOOKUP($A84,Transcodifica!$A$5:$J$400,5,FALSE()),"NON MAPPATO"))</f>
        <v/>
      </c>
      <c r="J84" s="6" t="str">
        <f aca="false">IF($A84="","",IFERROR(VLOOKUP($A84,Transcodifica!$A$5:$J$400,7,FALSE()),""))</f>
        <v/>
      </c>
      <c r="K84" s="6" t="str">
        <f aca="false">IF($A84="","",IFERROR(VLOOKUP($A84,Transcodifica!$A$5:$J$400,8,FALSE()),""))</f>
        <v/>
      </c>
      <c r="L84" s="6" t="str">
        <f aca="false">IF($A84="","",IFERROR(VLOOKUP($A84,Transcodifica!$A$5:$J$400,9,FALSE()),""))</f>
        <v/>
      </c>
      <c r="M84" s="8" t="str">
        <f aca="false">IF($A84="","",IF($E84="APPROVATO",1,IF($E84="In svolgimento",IF($F84="",0,$F84),0)))</f>
        <v/>
      </c>
      <c r="N84" s="10" t="str">
        <f aca="false">IF(OR($A84="",$I84="NON MAPPATO",$I84=""),"",$L84*$M84)</f>
        <v/>
      </c>
    </row>
    <row r="85" customFormat="false" ht="15" hidden="false" customHeight="false" outlineLevel="0" collapsed="false">
      <c r="A85" s="6"/>
      <c r="B85" s="7"/>
      <c r="C85" s="6"/>
      <c r="D85" s="6"/>
      <c r="E85" s="6"/>
      <c r="F85" s="8"/>
      <c r="G85" s="9"/>
      <c r="H85" s="7"/>
      <c r="I85" s="6" t="str">
        <f aca="false">IF($A85="","",IFERROR(VLOOKUP($A85,Transcodifica!$A$5:$J$400,5,FALSE()),"NON MAPPATO"))</f>
        <v/>
      </c>
      <c r="J85" s="6" t="str">
        <f aca="false">IF($A85="","",IFERROR(VLOOKUP($A85,Transcodifica!$A$5:$J$400,7,FALSE()),""))</f>
        <v/>
      </c>
      <c r="K85" s="6" t="str">
        <f aca="false">IF($A85="","",IFERROR(VLOOKUP($A85,Transcodifica!$A$5:$J$400,8,FALSE()),""))</f>
        <v/>
      </c>
      <c r="L85" s="6" t="str">
        <f aca="false">IF($A85="","",IFERROR(VLOOKUP($A85,Transcodifica!$A$5:$J$400,9,FALSE()),""))</f>
        <v/>
      </c>
      <c r="M85" s="8" t="str">
        <f aca="false">IF($A85="","",IF($E85="APPROVATO",1,IF($E85="In svolgimento",IF($F85="",0,$F85),0)))</f>
        <v/>
      </c>
      <c r="N85" s="10" t="str">
        <f aca="false">IF(OR($A85="",$I85="NON MAPPATO",$I85=""),"",$L85*$M85)</f>
        <v/>
      </c>
    </row>
    <row r="86" customFormat="false" ht="15" hidden="false" customHeight="false" outlineLevel="0" collapsed="false">
      <c r="A86" s="6"/>
      <c r="B86" s="7"/>
      <c r="C86" s="6"/>
      <c r="D86" s="6"/>
      <c r="E86" s="6"/>
      <c r="F86" s="8"/>
      <c r="G86" s="9"/>
      <c r="H86" s="7"/>
      <c r="I86" s="6" t="str">
        <f aca="false">IF($A86="","",IFERROR(VLOOKUP($A86,Transcodifica!$A$5:$J$400,5,FALSE()),"NON MAPPATO"))</f>
        <v/>
      </c>
      <c r="J86" s="6" t="str">
        <f aca="false">IF($A86="","",IFERROR(VLOOKUP($A86,Transcodifica!$A$5:$J$400,7,FALSE()),""))</f>
        <v/>
      </c>
      <c r="K86" s="6" t="str">
        <f aca="false">IF($A86="","",IFERROR(VLOOKUP($A86,Transcodifica!$A$5:$J$400,8,FALSE()),""))</f>
        <v/>
      </c>
      <c r="L86" s="6" t="str">
        <f aca="false">IF($A86="","",IFERROR(VLOOKUP($A86,Transcodifica!$A$5:$J$400,9,FALSE()),""))</f>
        <v/>
      </c>
      <c r="M86" s="8" t="str">
        <f aca="false">IF($A86="","",IF($E86="APPROVATO",1,IF($E86="In svolgimento",IF($F86="",0,$F86),0)))</f>
        <v/>
      </c>
      <c r="N86" s="10" t="str">
        <f aca="false">IF(OR($A86="",$I86="NON MAPPATO",$I86=""),"",$L86*$M86)</f>
        <v/>
      </c>
    </row>
    <row r="87" customFormat="false" ht="15" hidden="false" customHeight="false" outlineLevel="0" collapsed="false">
      <c r="A87" s="6"/>
      <c r="B87" s="7"/>
      <c r="C87" s="6"/>
      <c r="D87" s="6"/>
      <c r="E87" s="6"/>
      <c r="F87" s="8"/>
      <c r="G87" s="9"/>
      <c r="H87" s="7"/>
      <c r="I87" s="6" t="str">
        <f aca="false">IF($A87="","",IFERROR(VLOOKUP($A87,Transcodifica!$A$5:$J$400,5,FALSE()),"NON MAPPATO"))</f>
        <v/>
      </c>
      <c r="J87" s="6" t="str">
        <f aca="false">IF($A87="","",IFERROR(VLOOKUP($A87,Transcodifica!$A$5:$J$400,7,FALSE()),""))</f>
        <v/>
      </c>
      <c r="K87" s="6" t="str">
        <f aca="false">IF($A87="","",IFERROR(VLOOKUP($A87,Transcodifica!$A$5:$J$400,8,FALSE()),""))</f>
        <v/>
      </c>
      <c r="L87" s="6" t="str">
        <f aca="false">IF($A87="","",IFERROR(VLOOKUP($A87,Transcodifica!$A$5:$J$400,9,FALSE()),""))</f>
        <v/>
      </c>
      <c r="M87" s="8" t="str">
        <f aca="false">IF($A87="","",IF($E87="APPROVATO",1,IF($E87="In svolgimento",IF($F87="",0,$F87),0)))</f>
        <v/>
      </c>
      <c r="N87" s="10" t="str">
        <f aca="false">IF(OR($A87="",$I87="NON MAPPATO",$I87=""),"",$L87*$M87)</f>
        <v/>
      </c>
    </row>
    <row r="88" customFormat="false" ht="15" hidden="false" customHeight="false" outlineLevel="0" collapsed="false">
      <c r="A88" s="6"/>
      <c r="B88" s="7"/>
      <c r="C88" s="6"/>
      <c r="D88" s="6"/>
      <c r="E88" s="6"/>
      <c r="F88" s="8"/>
      <c r="G88" s="9"/>
      <c r="H88" s="7"/>
      <c r="I88" s="6" t="str">
        <f aca="false">IF($A88="","",IFERROR(VLOOKUP($A88,Transcodifica!$A$5:$J$400,5,FALSE()),"NON MAPPATO"))</f>
        <v/>
      </c>
      <c r="J88" s="6" t="str">
        <f aca="false">IF($A88="","",IFERROR(VLOOKUP($A88,Transcodifica!$A$5:$J$400,7,FALSE()),""))</f>
        <v/>
      </c>
      <c r="K88" s="6" t="str">
        <f aca="false">IF($A88="","",IFERROR(VLOOKUP($A88,Transcodifica!$A$5:$J$400,8,FALSE()),""))</f>
        <v/>
      </c>
      <c r="L88" s="6" t="str">
        <f aca="false">IF($A88="","",IFERROR(VLOOKUP($A88,Transcodifica!$A$5:$J$400,9,FALSE()),""))</f>
        <v/>
      </c>
      <c r="M88" s="8" t="str">
        <f aca="false">IF($A88="","",IF($E88="APPROVATO",1,IF($E88="In svolgimento",IF($F88="",0,$F88),0)))</f>
        <v/>
      </c>
      <c r="N88" s="10" t="str">
        <f aca="false">IF(OR($A88="",$I88="NON MAPPATO",$I88=""),"",$L88*$M88)</f>
        <v/>
      </c>
    </row>
    <row r="89" customFormat="false" ht="15" hidden="false" customHeight="false" outlineLevel="0" collapsed="false">
      <c r="A89" s="6"/>
      <c r="B89" s="7"/>
      <c r="C89" s="6"/>
      <c r="D89" s="6"/>
      <c r="E89" s="6"/>
      <c r="F89" s="8"/>
      <c r="G89" s="9"/>
      <c r="H89" s="7"/>
      <c r="I89" s="6" t="str">
        <f aca="false">IF($A89="","",IFERROR(VLOOKUP($A89,Transcodifica!$A$5:$J$400,5,FALSE()),"NON MAPPATO"))</f>
        <v/>
      </c>
      <c r="J89" s="6" t="str">
        <f aca="false">IF($A89="","",IFERROR(VLOOKUP($A89,Transcodifica!$A$5:$J$400,7,FALSE()),""))</f>
        <v/>
      </c>
      <c r="K89" s="6" t="str">
        <f aca="false">IF($A89="","",IFERROR(VLOOKUP($A89,Transcodifica!$A$5:$J$400,8,FALSE()),""))</f>
        <v/>
      </c>
      <c r="L89" s="6" t="str">
        <f aca="false">IF($A89="","",IFERROR(VLOOKUP($A89,Transcodifica!$A$5:$J$400,9,FALSE()),""))</f>
        <v/>
      </c>
      <c r="M89" s="8" t="str">
        <f aca="false">IF($A89="","",IF($E89="APPROVATO",1,IF($E89="In svolgimento",IF($F89="",0,$F89),0)))</f>
        <v/>
      </c>
      <c r="N89" s="10" t="str">
        <f aca="false">IF(OR($A89="",$I89="NON MAPPATO",$I89=""),"",$L89*$M89)</f>
        <v/>
      </c>
    </row>
    <row r="90" customFormat="false" ht="15" hidden="false" customHeight="false" outlineLevel="0" collapsed="false">
      <c r="A90" s="6"/>
      <c r="B90" s="7"/>
      <c r="C90" s="6"/>
      <c r="D90" s="6"/>
      <c r="E90" s="6"/>
      <c r="F90" s="8"/>
      <c r="G90" s="9"/>
      <c r="H90" s="7"/>
      <c r="I90" s="6" t="str">
        <f aca="false">IF($A90="","",IFERROR(VLOOKUP($A90,Transcodifica!$A$5:$J$400,5,FALSE()),"NON MAPPATO"))</f>
        <v/>
      </c>
      <c r="J90" s="6" t="str">
        <f aca="false">IF($A90="","",IFERROR(VLOOKUP($A90,Transcodifica!$A$5:$J$400,7,FALSE()),""))</f>
        <v/>
      </c>
      <c r="K90" s="6" t="str">
        <f aca="false">IF($A90="","",IFERROR(VLOOKUP($A90,Transcodifica!$A$5:$J$400,8,FALSE()),""))</f>
        <v/>
      </c>
      <c r="L90" s="6" t="str">
        <f aca="false">IF($A90="","",IFERROR(VLOOKUP($A90,Transcodifica!$A$5:$J$400,9,FALSE()),""))</f>
        <v/>
      </c>
      <c r="M90" s="8" t="str">
        <f aca="false">IF($A90="","",IF($E90="APPROVATO",1,IF($E90="In svolgimento",IF($F90="",0,$F90),0)))</f>
        <v/>
      </c>
      <c r="N90" s="10" t="str">
        <f aca="false">IF(OR($A90="",$I90="NON MAPPATO",$I90=""),"",$L90*$M90)</f>
        <v/>
      </c>
    </row>
    <row r="91" customFormat="false" ht="15" hidden="false" customHeight="false" outlineLevel="0" collapsed="false">
      <c r="A91" s="6"/>
      <c r="B91" s="7"/>
      <c r="C91" s="6"/>
      <c r="D91" s="6"/>
      <c r="E91" s="6"/>
      <c r="F91" s="8"/>
      <c r="G91" s="9"/>
      <c r="H91" s="7"/>
      <c r="I91" s="6" t="str">
        <f aca="false">IF($A91="","",IFERROR(VLOOKUP($A91,Transcodifica!$A$5:$J$400,5,FALSE()),"NON MAPPATO"))</f>
        <v/>
      </c>
      <c r="J91" s="6" t="str">
        <f aca="false">IF($A91="","",IFERROR(VLOOKUP($A91,Transcodifica!$A$5:$J$400,7,FALSE()),""))</f>
        <v/>
      </c>
      <c r="K91" s="6" t="str">
        <f aca="false">IF($A91="","",IFERROR(VLOOKUP($A91,Transcodifica!$A$5:$J$400,8,FALSE()),""))</f>
        <v/>
      </c>
      <c r="L91" s="6" t="str">
        <f aca="false">IF($A91="","",IFERROR(VLOOKUP($A91,Transcodifica!$A$5:$J$400,9,FALSE()),""))</f>
        <v/>
      </c>
      <c r="M91" s="8" t="str">
        <f aca="false">IF($A91="","",IF($E91="APPROVATO",1,IF($E91="In svolgimento",IF($F91="",0,$F91),0)))</f>
        <v/>
      </c>
      <c r="N91" s="10" t="str">
        <f aca="false">IF(OR($A91="",$I91="NON MAPPATO",$I91=""),"",$L91*$M91)</f>
        <v/>
      </c>
    </row>
    <row r="92" customFormat="false" ht="15" hidden="false" customHeight="false" outlineLevel="0" collapsed="false">
      <c r="A92" s="6"/>
      <c r="B92" s="7"/>
      <c r="C92" s="6"/>
      <c r="D92" s="6"/>
      <c r="E92" s="6"/>
      <c r="F92" s="8"/>
      <c r="G92" s="9"/>
      <c r="H92" s="7"/>
      <c r="I92" s="6" t="str">
        <f aca="false">IF($A92="","",IFERROR(VLOOKUP($A92,Transcodifica!$A$5:$J$400,5,FALSE()),"NON MAPPATO"))</f>
        <v/>
      </c>
      <c r="J92" s="6" t="str">
        <f aca="false">IF($A92="","",IFERROR(VLOOKUP($A92,Transcodifica!$A$5:$J$400,7,FALSE()),""))</f>
        <v/>
      </c>
      <c r="K92" s="6" t="str">
        <f aca="false">IF($A92="","",IFERROR(VLOOKUP($A92,Transcodifica!$A$5:$J$400,8,FALSE()),""))</f>
        <v/>
      </c>
      <c r="L92" s="6" t="str">
        <f aca="false">IF($A92="","",IFERROR(VLOOKUP($A92,Transcodifica!$A$5:$J$400,9,FALSE()),""))</f>
        <v/>
      </c>
      <c r="M92" s="8" t="str">
        <f aca="false">IF($A92="","",IF($E92="APPROVATO",1,IF($E92="In svolgimento",IF($F92="",0,$F92),0)))</f>
        <v/>
      </c>
      <c r="N92" s="10" t="str">
        <f aca="false">IF(OR($A92="",$I92="NON MAPPATO",$I92=""),"",$L92*$M92)</f>
        <v/>
      </c>
    </row>
    <row r="93" customFormat="false" ht="15" hidden="false" customHeight="false" outlineLevel="0" collapsed="false">
      <c r="A93" s="6"/>
      <c r="B93" s="7"/>
      <c r="C93" s="6"/>
      <c r="D93" s="6"/>
      <c r="E93" s="6"/>
      <c r="F93" s="8"/>
      <c r="G93" s="9"/>
      <c r="H93" s="7"/>
      <c r="I93" s="6" t="str">
        <f aca="false">IF($A93="","",IFERROR(VLOOKUP($A93,Transcodifica!$A$5:$J$400,5,FALSE()),"NON MAPPATO"))</f>
        <v/>
      </c>
      <c r="J93" s="6" t="str">
        <f aca="false">IF($A93="","",IFERROR(VLOOKUP($A93,Transcodifica!$A$5:$J$400,7,FALSE()),""))</f>
        <v/>
      </c>
      <c r="K93" s="6" t="str">
        <f aca="false">IF($A93="","",IFERROR(VLOOKUP($A93,Transcodifica!$A$5:$J$400,8,FALSE()),""))</f>
        <v/>
      </c>
      <c r="L93" s="6" t="str">
        <f aca="false">IF($A93="","",IFERROR(VLOOKUP($A93,Transcodifica!$A$5:$J$400,9,FALSE()),""))</f>
        <v/>
      </c>
      <c r="M93" s="8" t="str">
        <f aca="false">IF($A93="","",IF($E93="APPROVATO",1,IF($E93="In svolgimento",IF($F93="",0,$F93),0)))</f>
        <v/>
      </c>
      <c r="N93" s="10" t="str">
        <f aca="false">IF(OR($A93="",$I93="NON MAPPATO",$I93=""),"",$L93*$M93)</f>
        <v/>
      </c>
    </row>
    <row r="94" customFormat="false" ht="15" hidden="false" customHeight="false" outlineLevel="0" collapsed="false">
      <c r="A94" s="6"/>
      <c r="B94" s="7"/>
      <c r="C94" s="6"/>
      <c r="D94" s="6"/>
      <c r="E94" s="6"/>
      <c r="F94" s="8"/>
      <c r="G94" s="9"/>
      <c r="H94" s="7"/>
      <c r="I94" s="6" t="str">
        <f aca="false">IF($A94="","",IFERROR(VLOOKUP($A94,Transcodifica!$A$5:$J$400,5,FALSE()),"NON MAPPATO"))</f>
        <v/>
      </c>
      <c r="J94" s="6" t="str">
        <f aca="false">IF($A94="","",IFERROR(VLOOKUP($A94,Transcodifica!$A$5:$J$400,7,FALSE()),""))</f>
        <v/>
      </c>
      <c r="K94" s="6" t="str">
        <f aca="false">IF($A94="","",IFERROR(VLOOKUP($A94,Transcodifica!$A$5:$J$400,8,FALSE()),""))</f>
        <v/>
      </c>
      <c r="L94" s="6" t="str">
        <f aca="false">IF($A94="","",IFERROR(VLOOKUP($A94,Transcodifica!$A$5:$J$400,9,FALSE()),""))</f>
        <v/>
      </c>
      <c r="M94" s="8" t="str">
        <f aca="false">IF($A94="","",IF($E94="APPROVATO",1,IF($E94="In svolgimento",IF($F94="",0,$F94),0)))</f>
        <v/>
      </c>
      <c r="N94" s="10" t="str">
        <f aca="false">IF(OR($A94="",$I94="NON MAPPATO",$I94=""),"",$L94*$M94)</f>
        <v/>
      </c>
    </row>
    <row r="95" customFormat="false" ht="15" hidden="false" customHeight="false" outlineLevel="0" collapsed="false">
      <c r="A95" s="6"/>
      <c r="B95" s="7"/>
      <c r="C95" s="6"/>
      <c r="D95" s="6"/>
      <c r="E95" s="6"/>
      <c r="F95" s="8"/>
      <c r="G95" s="9"/>
      <c r="H95" s="7"/>
      <c r="I95" s="6" t="str">
        <f aca="false">IF($A95="","",IFERROR(VLOOKUP($A95,Transcodifica!$A$5:$J$400,5,FALSE()),"NON MAPPATO"))</f>
        <v/>
      </c>
      <c r="J95" s="6" t="str">
        <f aca="false">IF($A95="","",IFERROR(VLOOKUP($A95,Transcodifica!$A$5:$J$400,7,FALSE()),""))</f>
        <v/>
      </c>
      <c r="K95" s="6" t="str">
        <f aca="false">IF($A95="","",IFERROR(VLOOKUP($A95,Transcodifica!$A$5:$J$400,8,FALSE()),""))</f>
        <v/>
      </c>
      <c r="L95" s="6" t="str">
        <f aca="false">IF($A95="","",IFERROR(VLOOKUP($A95,Transcodifica!$A$5:$J$400,9,FALSE()),""))</f>
        <v/>
      </c>
      <c r="M95" s="8" t="str">
        <f aca="false">IF($A95="","",IF($E95="APPROVATO",1,IF($E95="In svolgimento",IF($F95="",0,$F95),0)))</f>
        <v/>
      </c>
      <c r="N95" s="10" t="str">
        <f aca="false">IF(OR($A95="",$I95="NON MAPPATO",$I95=""),"",$L95*$M95)</f>
        <v/>
      </c>
    </row>
    <row r="96" customFormat="false" ht="15" hidden="false" customHeight="false" outlineLevel="0" collapsed="false">
      <c r="A96" s="6"/>
      <c r="B96" s="7"/>
      <c r="C96" s="6"/>
      <c r="D96" s="6"/>
      <c r="E96" s="6"/>
      <c r="F96" s="8"/>
      <c r="G96" s="9"/>
      <c r="H96" s="7"/>
      <c r="I96" s="6" t="str">
        <f aca="false">IF($A96="","",IFERROR(VLOOKUP($A96,Transcodifica!$A$5:$J$400,5,FALSE()),"NON MAPPATO"))</f>
        <v/>
      </c>
      <c r="J96" s="6" t="str">
        <f aca="false">IF($A96="","",IFERROR(VLOOKUP($A96,Transcodifica!$A$5:$J$400,7,FALSE()),""))</f>
        <v/>
      </c>
      <c r="K96" s="6" t="str">
        <f aca="false">IF($A96="","",IFERROR(VLOOKUP($A96,Transcodifica!$A$5:$J$400,8,FALSE()),""))</f>
        <v/>
      </c>
      <c r="L96" s="6" t="str">
        <f aca="false">IF($A96="","",IFERROR(VLOOKUP($A96,Transcodifica!$A$5:$J$400,9,FALSE()),""))</f>
        <v/>
      </c>
      <c r="M96" s="8" t="str">
        <f aca="false">IF($A96="","",IF($E96="APPROVATO",1,IF($E96="In svolgimento",IF($F96="",0,$F96),0)))</f>
        <v/>
      </c>
      <c r="N96" s="10" t="str">
        <f aca="false">IF(OR($A96="",$I96="NON MAPPATO",$I96=""),"",$L96*$M96)</f>
        <v/>
      </c>
    </row>
    <row r="97" customFormat="false" ht="15" hidden="false" customHeight="false" outlineLevel="0" collapsed="false">
      <c r="A97" s="6"/>
      <c r="B97" s="7"/>
      <c r="C97" s="6"/>
      <c r="D97" s="6"/>
      <c r="E97" s="6"/>
      <c r="F97" s="8"/>
      <c r="G97" s="9"/>
      <c r="H97" s="7"/>
      <c r="I97" s="6" t="str">
        <f aca="false">IF($A97="","",IFERROR(VLOOKUP($A97,Transcodifica!$A$5:$J$400,5,FALSE()),"NON MAPPATO"))</f>
        <v/>
      </c>
      <c r="J97" s="6" t="str">
        <f aca="false">IF($A97="","",IFERROR(VLOOKUP($A97,Transcodifica!$A$5:$J$400,7,FALSE()),""))</f>
        <v/>
      </c>
      <c r="K97" s="6" t="str">
        <f aca="false">IF($A97="","",IFERROR(VLOOKUP($A97,Transcodifica!$A$5:$J$400,8,FALSE()),""))</f>
        <v/>
      </c>
      <c r="L97" s="6" t="str">
        <f aca="false">IF($A97="","",IFERROR(VLOOKUP($A97,Transcodifica!$A$5:$J$400,9,FALSE()),""))</f>
        <v/>
      </c>
      <c r="M97" s="8" t="str">
        <f aca="false">IF($A97="","",IF($E97="APPROVATO",1,IF($E97="In svolgimento",IF($F97="",0,$F97),0)))</f>
        <v/>
      </c>
      <c r="N97" s="10" t="str">
        <f aca="false">IF(OR($A97="",$I97="NON MAPPATO",$I97=""),"",$L97*$M97)</f>
        <v/>
      </c>
    </row>
    <row r="98" customFormat="false" ht="15" hidden="false" customHeight="false" outlineLevel="0" collapsed="false">
      <c r="A98" s="6"/>
      <c r="B98" s="7"/>
      <c r="C98" s="6"/>
      <c r="D98" s="6"/>
      <c r="E98" s="6"/>
      <c r="F98" s="8"/>
      <c r="G98" s="9"/>
      <c r="H98" s="7"/>
      <c r="I98" s="6" t="str">
        <f aca="false">IF($A98="","",IFERROR(VLOOKUP($A98,Transcodifica!$A$5:$J$400,5,FALSE()),"NON MAPPATO"))</f>
        <v/>
      </c>
      <c r="J98" s="6" t="str">
        <f aca="false">IF($A98="","",IFERROR(VLOOKUP($A98,Transcodifica!$A$5:$J$400,7,FALSE()),""))</f>
        <v/>
      </c>
      <c r="K98" s="6" t="str">
        <f aca="false">IF($A98="","",IFERROR(VLOOKUP($A98,Transcodifica!$A$5:$J$400,8,FALSE()),""))</f>
        <v/>
      </c>
      <c r="L98" s="6" t="str">
        <f aca="false">IF($A98="","",IFERROR(VLOOKUP($A98,Transcodifica!$A$5:$J$400,9,FALSE()),""))</f>
        <v/>
      </c>
      <c r="M98" s="8" t="str">
        <f aca="false">IF($A98="","",IF($E98="APPROVATO",1,IF($E98="In svolgimento",IF($F98="",0,$F98),0)))</f>
        <v/>
      </c>
      <c r="N98" s="10" t="str">
        <f aca="false">IF(OR($A98="",$I98="NON MAPPATO",$I98=""),"",$L98*$M98)</f>
        <v/>
      </c>
    </row>
    <row r="99" customFormat="false" ht="15" hidden="false" customHeight="false" outlineLevel="0" collapsed="false">
      <c r="A99" s="6"/>
      <c r="B99" s="7"/>
      <c r="C99" s="6"/>
      <c r="D99" s="6"/>
      <c r="E99" s="6"/>
      <c r="F99" s="8"/>
      <c r="G99" s="9"/>
      <c r="H99" s="7"/>
      <c r="I99" s="6" t="str">
        <f aca="false">IF($A99="","",IFERROR(VLOOKUP($A99,Transcodifica!$A$5:$J$400,5,FALSE()),"NON MAPPATO"))</f>
        <v/>
      </c>
      <c r="J99" s="6" t="str">
        <f aca="false">IF($A99="","",IFERROR(VLOOKUP($A99,Transcodifica!$A$5:$J$400,7,FALSE()),""))</f>
        <v/>
      </c>
      <c r="K99" s="6" t="str">
        <f aca="false">IF($A99="","",IFERROR(VLOOKUP($A99,Transcodifica!$A$5:$J$400,8,FALSE()),""))</f>
        <v/>
      </c>
      <c r="L99" s="6" t="str">
        <f aca="false">IF($A99="","",IFERROR(VLOOKUP($A99,Transcodifica!$A$5:$J$400,9,FALSE()),""))</f>
        <v/>
      </c>
      <c r="M99" s="8" t="str">
        <f aca="false">IF($A99="","",IF($E99="APPROVATO",1,IF($E99="In svolgimento",IF($F99="",0,$F99),0)))</f>
        <v/>
      </c>
      <c r="N99" s="10" t="str">
        <f aca="false">IF(OR($A99="",$I99="NON MAPPATO",$I99=""),"",$L99*$M99)</f>
        <v/>
      </c>
    </row>
    <row r="100" customFormat="false" ht="15" hidden="false" customHeight="false" outlineLevel="0" collapsed="false">
      <c r="A100" s="6"/>
      <c r="B100" s="7"/>
      <c r="C100" s="6"/>
      <c r="D100" s="6"/>
      <c r="E100" s="6"/>
      <c r="F100" s="8"/>
      <c r="G100" s="9"/>
      <c r="H100" s="7"/>
      <c r="I100" s="6" t="str">
        <f aca="false">IF($A100="","",IFERROR(VLOOKUP($A100,Transcodifica!$A$5:$J$400,5,FALSE()),"NON MAPPATO"))</f>
        <v/>
      </c>
      <c r="J100" s="6" t="str">
        <f aca="false">IF($A100="","",IFERROR(VLOOKUP($A100,Transcodifica!$A$5:$J$400,7,FALSE()),""))</f>
        <v/>
      </c>
      <c r="K100" s="6" t="str">
        <f aca="false">IF($A100="","",IFERROR(VLOOKUP($A100,Transcodifica!$A$5:$J$400,8,FALSE()),""))</f>
        <v/>
      </c>
      <c r="L100" s="6" t="str">
        <f aca="false">IF($A100="","",IFERROR(VLOOKUP($A100,Transcodifica!$A$5:$J$400,9,FALSE()),""))</f>
        <v/>
      </c>
      <c r="M100" s="8" t="str">
        <f aca="false">IF($A100="","",IF($E100="APPROVATO",1,IF($E100="In svolgimento",IF($F100="",0,$F100),0)))</f>
        <v/>
      </c>
      <c r="N100" s="10" t="str">
        <f aca="false">IF(OR($A100="",$I100="NON MAPPATO",$I100=""),"",$L100*$M100)</f>
        <v/>
      </c>
    </row>
    <row r="101" customFormat="false" ht="15" hidden="false" customHeight="false" outlineLevel="0" collapsed="false">
      <c r="A101" s="6"/>
      <c r="B101" s="7"/>
      <c r="C101" s="6"/>
      <c r="D101" s="6"/>
      <c r="E101" s="6"/>
      <c r="F101" s="8"/>
      <c r="G101" s="9"/>
      <c r="H101" s="7"/>
      <c r="I101" s="6" t="str">
        <f aca="false">IF($A101="","",IFERROR(VLOOKUP($A101,Transcodifica!$A$5:$J$400,5,FALSE()),"NON MAPPATO"))</f>
        <v/>
      </c>
      <c r="J101" s="6" t="str">
        <f aca="false">IF($A101="","",IFERROR(VLOOKUP($A101,Transcodifica!$A$5:$J$400,7,FALSE()),""))</f>
        <v/>
      </c>
      <c r="K101" s="6" t="str">
        <f aca="false">IF($A101="","",IFERROR(VLOOKUP($A101,Transcodifica!$A$5:$J$400,8,FALSE()),""))</f>
        <v/>
      </c>
      <c r="L101" s="6" t="str">
        <f aca="false">IF($A101="","",IFERROR(VLOOKUP($A101,Transcodifica!$A$5:$J$400,9,FALSE()),""))</f>
        <v/>
      </c>
      <c r="M101" s="8" t="str">
        <f aca="false">IF($A101="","",IF($E101="APPROVATO",1,IF($E101="In svolgimento",IF($F101="",0,$F101),0)))</f>
        <v/>
      </c>
      <c r="N101" s="10" t="str">
        <f aca="false">IF(OR($A101="",$I101="NON MAPPATO",$I101=""),"",$L101*$M101)</f>
        <v/>
      </c>
    </row>
    <row r="102" customFormat="false" ht="15" hidden="false" customHeight="false" outlineLevel="0" collapsed="false">
      <c r="A102" s="6"/>
      <c r="B102" s="7"/>
      <c r="C102" s="6"/>
      <c r="D102" s="6"/>
      <c r="E102" s="6"/>
      <c r="F102" s="8"/>
      <c r="G102" s="9"/>
      <c r="H102" s="7"/>
      <c r="I102" s="6" t="str">
        <f aca="false">IF($A102="","",IFERROR(VLOOKUP($A102,Transcodifica!$A$5:$J$400,5,FALSE()),"NON MAPPATO"))</f>
        <v/>
      </c>
      <c r="J102" s="6" t="str">
        <f aca="false">IF($A102="","",IFERROR(VLOOKUP($A102,Transcodifica!$A$5:$J$400,7,FALSE()),""))</f>
        <v/>
      </c>
      <c r="K102" s="6" t="str">
        <f aca="false">IF($A102="","",IFERROR(VLOOKUP($A102,Transcodifica!$A$5:$J$400,8,FALSE()),""))</f>
        <v/>
      </c>
      <c r="L102" s="6" t="str">
        <f aca="false">IF($A102="","",IFERROR(VLOOKUP($A102,Transcodifica!$A$5:$J$400,9,FALSE()),""))</f>
        <v/>
      </c>
      <c r="M102" s="8" t="str">
        <f aca="false">IF($A102="","",IF($E102="APPROVATO",1,IF($E102="In svolgimento",IF($F102="",0,$F102),0)))</f>
        <v/>
      </c>
      <c r="N102" s="10" t="str">
        <f aca="false">IF(OR($A102="",$I102="NON MAPPATO",$I102=""),"",$L102*$M102)</f>
        <v/>
      </c>
    </row>
    <row r="103" customFormat="false" ht="15" hidden="false" customHeight="false" outlineLevel="0" collapsed="false">
      <c r="A103" s="6"/>
      <c r="B103" s="7"/>
      <c r="C103" s="6"/>
      <c r="D103" s="6"/>
      <c r="E103" s="6"/>
      <c r="F103" s="8"/>
      <c r="G103" s="9"/>
      <c r="H103" s="7"/>
      <c r="I103" s="6" t="str">
        <f aca="false">IF($A103="","",IFERROR(VLOOKUP($A103,Transcodifica!$A$5:$J$400,5,FALSE()),"NON MAPPATO"))</f>
        <v/>
      </c>
      <c r="J103" s="6" t="str">
        <f aca="false">IF($A103="","",IFERROR(VLOOKUP($A103,Transcodifica!$A$5:$J$400,7,FALSE()),""))</f>
        <v/>
      </c>
      <c r="K103" s="6" t="str">
        <f aca="false">IF($A103="","",IFERROR(VLOOKUP($A103,Transcodifica!$A$5:$J$400,8,FALSE()),""))</f>
        <v/>
      </c>
      <c r="L103" s="6" t="str">
        <f aca="false">IF($A103="","",IFERROR(VLOOKUP($A103,Transcodifica!$A$5:$J$400,9,FALSE()),""))</f>
        <v/>
      </c>
      <c r="M103" s="8" t="str">
        <f aca="false">IF($A103="","",IF($E103="APPROVATO",1,IF($E103="In svolgimento",IF($F103="",0,$F103),0)))</f>
        <v/>
      </c>
      <c r="N103" s="10" t="str">
        <f aca="false">IF(OR($A103="",$I103="NON MAPPATO",$I103=""),"",$L103*$M103)</f>
        <v/>
      </c>
    </row>
    <row r="104" customFormat="false" ht="15" hidden="false" customHeight="false" outlineLevel="0" collapsed="false">
      <c r="A104" s="6"/>
      <c r="B104" s="7"/>
      <c r="C104" s="6"/>
      <c r="D104" s="6"/>
      <c r="E104" s="6"/>
      <c r="F104" s="8"/>
      <c r="G104" s="9"/>
      <c r="H104" s="7"/>
      <c r="I104" s="6" t="str">
        <f aca="false">IF($A104="","",IFERROR(VLOOKUP($A104,Transcodifica!$A$5:$J$400,5,FALSE()),"NON MAPPATO"))</f>
        <v/>
      </c>
      <c r="J104" s="6" t="str">
        <f aca="false">IF($A104="","",IFERROR(VLOOKUP($A104,Transcodifica!$A$5:$J$400,7,FALSE()),""))</f>
        <v/>
      </c>
      <c r="K104" s="6" t="str">
        <f aca="false">IF($A104="","",IFERROR(VLOOKUP($A104,Transcodifica!$A$5:$J$400,8,FALSE()),""))</f>
        <v/>
      </c>
      <c r="L104" s="6" t="str">
        <f aca="false">IF($A104="","",IFERROR(VLOOKUP($A104,Transcodifica!$A$5:$J$400,9,FALSE()),""))</f>
        <v/>
      </c>
      <c r="M104" s="8" t="str">
        <f aca="false">IF($A104="","",IF($E104="APPROVATO",1,IF($E104="In svolgimento",IF($F104="",0,$F104),0)))</f>
        <v/>
      </c>
      <c r="N104" s="10" t="str">
        <f aca="false">IF(OR($A104="",$I104="NON MAPPATO",$I104=""),"",$L104*$M104)</f>
        <v/>
      </c>
    </row>
    <row r="105" customFormat="false" ht="15" hidden="false" customHeight="false" outlineLevel="0" collapsed="false">
      <c r="A105" s="6"/>
      <c r="B105" s="7"/>
      <c r="C105" s="6"/>
      <c r="D105" s="6"/>
      <c r="E105" s="6"/>
      <c r="F105" s="8"/>
      <c r="G105" s="9"/>
      <c r="H105" s="7"/>
      <c r="I105" s="6" t="str">
        <f aca="false">IF($A105="","",IFERROR(VLOOKUP($A105,Transcodifica!$A$5:$J$400,5,FALSE()),"NON MAPPATO"))</f>
        <v/>
      </c>
      <c r="J105" s="6" t="str">
        <f aca="false">IF($A105="","",IFERROR(VLOOKUP($A105,Transcodifica!$A$5:$J$400,7,FALSE()),""))</f>
        <v/>
      </c>
      <c r="K105" s="6" t="str">
        <f aca="false">IF($A105="","",IFERROR(VLOOKUP($A105,Transcodifica!$A$5:$J$400,8,FALSE()),""))</f>
        <v/>
      </c>
      <c r="L105" s="6" t="str">
        <f aca="false">IF($A105="","",IFERROR(VLOOKUP($A105,Transcodifica!$A$5:$J$400,9,FALSE()),""))</f>
        <v/>
      </c>
      <c r="M105" s="8" t="str">
        <f aca="false">IF($A105="","",IF($E105="APPROVATO",1,IF($E105="In svolgimento",IF($F105="",0,$F105),0)))</f>
        <v/>
      </c>
      <c r="N105" s="10" t="str">
        <f aca="false">IF(OR($A105="",$I105="NON MAPPATO",$I105=""),"",$L105*$M105)</f>
        <v/>
      </c>
    </row>
    <row r="106" customFormat="false" ht="15" hidden="false" customHeight="false" outlineLevel="0" collapsed="false">
      <c r="A106" s="6"/>
      <c r="B106" s="7"/>
      <c r="C106" s="6"/>
      <c r="D106" s="6"/>
      <c r="E106" s="6"/>
      <c r="F106" s="8"/>
      <c r="G106" s="9"/>
      <c r="H106" s="7"/>
      <c r="I106" s="6" t="str">
        <f aca="false">IF($A106="","",IFERROR(VLOOKUP($A106,Transcodifica!$A$5:$J$400,5,FALSE()),"NON MAPPATO"))</f>
        <v/>
      </c>
      <c r="J106" s="6" t="str">
        <f aca="false">IF($A106="","",IFERROR(VLOOKUP($A106,Transcodifica!$A$5:$J$400,7,FALSE()),""))</f>
        <v/>
      </c>
      <c r="K106" s="6" t="str">
        <f aca="false">IF($A106="","",IFERROR(VLOOKUP($A106,Transcodifica!$A$5:$J$400,8,FALSE()),""))</f>
        <v/>
      </c>
      <c r="L106" s="6" t="str">
        <f aca="false">IF($A106="","",IFERROR(VLOOKUP($A106,Transcodifica!$A$5:$J$400,9,FALSE()),""))</f>
        <v/>
      </c>
      <c r="M106" s="8" t="str">
        <f aca="false">IF($A106="","",IF($E106="APPROVATO",1,IF($E106="In svolgimento",IF($F106="",0,$F106),0)))</f>
        <v/>
      </c>
      <c r="N106" s="10" t="str">
        <f aca="false">IF(OR($A106="",$I106="NON MAPPATO",$I106=""),"",$L106*$M106)</f>
        <v/>
      </c>
    </row>
    <row r="107" customFormat="false" ht="15" hidden="false" customHeight="false" outlineLevel="0" collapsed="false">
      <c r="A107" s="6"/>
      <c r="B107" s="7"/>
      <c r="C107" s="6"/>
      <c r="D107" s="6"/>
      <c r="E107" s="6"/>
      <c r="F107" s="8"/>
      <c r="G107" s="9"/>
      <c r="H107" s="7"/>
      <c r="I107" s="6" t="str">
        <f aca="false">IF($A107="","",IFERROR(VLOOKUP($A107,Transcodifica!$A$5:$J$400,5,FALSE()),"NON MAPPATO"))</f>
        <v/>
      </c>
      <c r="J107" s="6" t="str">
        <f aca="false">IF($A107="","",IFERROR(VLOOKUP($A107,Transcodifica!$A$5:$J$400,7,FALSE()),""))</f>
        <v/>
      </c>
      <c r="K107" s="6" t="str">
        <f aca="false">IF($A107="","",IFERROR(VLOOKUP($A107,Transcodifica!$A$5:$J$400,8,FALSE()),""))</f>
        <v/>
      </c>
      <c r="L107" s="6" t="str">
        <f aca="false">IF($A107="","",IFERROR(VLOOKUP($A107,Transcodifica!$A$5:$J$400,9,FALSE()),""))</f>
        <v/>
      </c>
      <c r="M107" s="8" t="str">
        <f aca="false">IF($A107="","",IF($E107="APPROVATO",1,IF($E107="In svolgimento",IF($F107="",0,$F107),0)))</f>
        <v/>
      </c>
      <c r="N107" s="10" t="str">
        <f aca="false">IF(OR($A107="",$I107="NON MAPPATO",$I107=""),"",$L107*$M107)</f>
        <v/>
      </c>
    </row>
    <row r="108" customFormat="false" ht="15" hidden="false" customHeight="false" outlineLevel="0" collapsed="false">
      <c r="A108" s="6"/>
      <c r="B108" s="7"/>
      <c r="C108" s="6"/>
      <c r="D108" s="6"/>
      <c r="E108" s="6"/>
      <c r="F108" s="8"/>
      <c r="G108" s="9"/>
      <c r="H108" s="7"/>
      <c r="I108" s="6" t="str">
        <f aca="false">IF($A108="","",IFERROR(VLOOKUP($A108,Transcodifica!$A$5:$J$400,5,FALSE()),"NON MAPPATO"))</f>
        <v/>
      </c>
      <c r="J108" s="6" t="str">
        <f aca="false">IF($A108="","",IFERROR(VLOOKUP($A108,Transcodifica!$A$5:$J$400,7,FALSE()),""))</f>
        <v/>
      </c>
      <c r="K108" s="6" t="str">
        <f aca="false">IF($A108="","",IFERROR(VLOOKUP($A108,Transcodifica!$A$5:$J$400,8,FALSE()),""))</f>
        <v/>
      </c>
      <c r="L108" s="6" t="str">
        <f aca="false">IF($A108="","",IFERROR(VLOOKUP($A108,Transcodifica!$A$5:$J$400,9,FALSE()),""))</f>
        <v/>
      </c>
      <c r="M108" s="8" t="str">
        <f aca="false">IF($A108="","",IF($E108="APPROVATO",1,IF($E108="In svolgimento",IF($F108="",0,$F108),0)))</f>
        <v/>
      </c>
      <c r="N108" s="10" t="str">
        <f aca="false">IF(OR($A108="",$I108="NON MAPPATO",$I108=""),"",$L108*$M108)</f>
        <v/>
      </c>
    </row>
    <row r="109" customFormat="false" ht="15" hidden="false" customHeight="false" outlineLevel="0" collapsed="false">
      <c r="A109" s="6"/>
      <c r="B109" s="7"/>
      <c r="C109" s="6"/>
      <c r="D109" s="6"/>
      <c r="E109" s="6"/>
      <c r="F109" s="8"/>
      <c r="G109" s="9"/>
      <c r="H109" s="7"/>
      <c r="I109" s="6" t="str">
        <f aca="false">IF($A109="","",IFERROR(VLOOKUP($A109,Transcodifica!$A$5:$J$400,5,FALSE()),"NON MAPPATO"))</f>
        <v/>
      </c>
      <c r="J109" s="6" t="str">
        <f aca="false">IF($A109="","",IFERROR(VLOOKUP($A109,Transcodifica!$A$5:$J$400,7,FALSE()),""))</f>
        <v/>
      </c>
      <c r="K109" s="6" t="str">
        <f aca="false">IF($A109="","",IFERROR(VLOOKUP($A109,Transcodifica!$A$5:$J$400,8,FALSE()),""))</f>
        <v/>
      </c>
      <c r="L109" s="6" t="str">
        <f aca="false">IF($A109="","",IFERROR(VLOOKUP($A109,Transcodifica!$A$5:$J$400,9,FALSE()),""))</f>
        <v/>
      </c>
      <c r="M109" s="8" t="str">
        <f aca="false">IF($A109="","",IF($E109="APPROVATO",1,IF($E109="In svolgimento",IF($F109="",0,$F109),0)))</f>
        <v/>
      </c>
      <c r="N109" s="10" t="str">
        <f aca="false">IF(OR($A109="",$I109="NON MAPPATO",$I109=""),"",$L109*$M109)</f>
        <v/>
      </c>
    </row>
    <row r="110" customFormat="false" ht="15" hidden="false" customHeight="false" outlineLevel="0" collapsed="false">
      <c r="A110" s="6"/>
      <c r="B110" s="7"/>
      <c r="C110" s="6"/>
      <c r="D110" s="6"/>
      <c r="E110" s="6"/>
      <c r="F110" s="8"/>
      <c r="G110" s="9"/>
      <c r="H110" s="7"/>
      <c r="I110" s="6" t="str">
        <f aca="false">IF($A110="","",IFERROR(VLOOKUP($A110,Transcodifica!$A$5:$J$400,5,FALSE()),"NON MAPPATO"))</f>
        <v/>
      </c>
      <c r="J110" s="6" t="str">
        <f aca="false">IF($A110="","",IFERROR(VLOOKUP($A110,Transcodifica!$A$5:$J$400,7,FALSE()),""))</f>
        <v/>
      </c>
      <c r="K110" s="6" t="str">
        <f aca="false">IF($A110="","",IFERROR(VLOOKUP($A110,Transcodifica!$A$5:$J$400,8,FALSE()),""))</f>
        <v/>
      </c>
      <c r="L110" s="6" t="str">
        <f aca="false">IF($A110="","",IFERROR(VLOOKUP($A110,Transcodifica!$A$5:$J$400,9,FALSE()),""))</f>
        <v/>
      </c>
      <c r="M110" s="8" t="str">
        <f aca="false">IF($A110="","",IF($E110="APPROVATO",1,IF($E110="In svolgimento",IF($F110="",0,$F110),0)))</f>
        <v/>
      </c>
      <c r="N110" s="10" t="str">
        <f aca="false">IF(OR($A110="",$I110="NON MAPPATO",$I110=""),"",$L110*$M110)</f>
        <v/>
      </c>
    </row>
    <row r="111" customFormat="false" ht="15" hidden="false" customHeight="false" outlineLevel="0" collapsed="false">
      <c r="A111" s="6"/>
      <c r="B111" s="7"/>
      <c r="C111" s="6"/>
      <c r="D111" s="6"/>
      <c r="E111" s="6"/>
      <c r="F111" s="8"/>
      <c r="G111" s="9"/>
      <c r="H111" s="7"/>
      <c r="I111" s="6" t="str">
        <f aca="false">IF($A111="","",IFERROR(VLOOKUP($A111,Transcodifica!$A$5:$J$400,5,FALSE()),"NON MAPPATO"))</f>
        <v/>
      </c>
      <c r="J111" s="6" t="str">
        <f aca="false">IF($A111="","",IFERROR(VLOOKUP($A111,Transcodifica!$A$5:$J$400,7,FALSE()),""))</f>
        <v/>
      </c>
      <c r="K111" s="6" t="str">
        <f aca="false">IF($A111="","",IFERROR(VLOOKUP($A111,Transcodifica!$A$5:$J$400,8,FALSE()),""))</f>
        <v/>
      </c>
      <c r="L111" s="6" t="str">
        <f aca="false">IF($A111="","",IFERROR(VLOOKUP($A111,Transcodifica!$A$5:$J$400,9,FALSE()),""))</f>
        <v/>
      </c>
      <c r="M111" s="8" t="str">
        <f aca="false">IF($A111="","",IF($E111="APPROVATO",1,IF($E111="In svolgimento",IF($F111="",0,$F111),0)))</f>
        <v/>
      </c>
      <c r="N111" s="10" t="str">
        <f aca="false">IF(OR($A111="",$I111="NON MAPPATO",$I111=""),"",$L111*$M111)</f>
        <v/>
      </c>
    </row>
    <row r="112" customFormat="false" ht="15" hidden="false" customHeight="false" outlineLevel="0" collapsed="false">
      <c r="A112" s="6"/>
      <c r="B112" s="7"/>
      <c r="C112" s="6"/>
      <c r="D112" s="6"/>
      <c r="E112" s="6"/>
      <c r="F112" s="8"/>
      <c r="G112" s="9"/>
      <c r="H112" s="7"/>
      <c r="I112" s="6" t="str">
        <f aca="false">IF($A112="","",IFERROR(VLOOKUP($A112,Transcodifica!$A$5:$J$400,5,FALSE()),"NON MAPPATO"))</f>
        <v/>
      </c>
      <c r="J112" s="6" t="str">
        <f aca="false">IF($A112="","",IFERROR(VLOOKUP($A112,Transcodifica!$A$5:$J$400,7,FALSE()),""))</f>
        <v/>
      </c>
      <c r="K112" s="6" t="str">
        <f aca="false">IF($A112="","",IFERROR(VLOOKUP($A112,Transcodifica!$A$5:$J$400,8,FALSE()),""))</f>
        <v/>
      </c>
      <c r="L112" s="6" t="str">
        <f aca="false">IF($A112="","",IFERROR(VLOOKUP($A112,Transcodifica!$A$5:$J$400,9,FALSE()),""))</f>
        <v/>
      </c>
      <c r="M112" s="8" t="str">
        <f aca="false">IF($A112="","",IF($E112="APPROVATO",1,IF($E112="In svolgimento",IF($F112="",0,$F112),0)))</f>
        <v/>
      </c>
      <c r="N112" s="10" t="str">
        <f aca="false">IF(OR($A112="",$I112="NON MAPPATO",$I112=""),"",$L112*$M112)</f>
        <v/>
      </c>
    </row>
    <row r="113" customFormat="false" ht="15" hidden="false" customHeight="false" outlineLevel="0" collapsed="false">
      <c r="A113" s="6"/>
      <c r="B113" s="7"/>
      <c r="C113" s="6"/>
      <c r="D113" s="6"/>
      <c r="E113" s="6"/>
      <c r="F113" s="8"/>
      <c r="G113" s="9"/>
      <c r="H113" s="7"/>
      <c r="I113" s="6" t="str">
        <f aca="false">IF($A113="","",IFERROR(VLOOKUP($A113,Transcodifica!$A$5:$J$400,5,FALSE()),"NON MAPPATO"))</f>
        <v/>
      </c>
      <c r="J113" s="6" t="str">
        <f aca="false">IF($A113="","",IFERROR(VLOOKUP($A113,Transcodifica!$A$5:$J$400,7,FALSE()),""))</f>
        <v/>
      </c>
      <c r="K113" s="6" t="str">
        <f aca="false">IF($A113="","",IFERROR(VLOOKUP($A113,Transcodifica!$A$5:$J$400,8,FALSE()),""))</f>
        <v/>
      </c>
      <c r="L113" s="6" t="str">
        <f aca="false">IF($A113="","",IFERROR(VLOOKUP($A113,Transcodifica!$A$5:$J$400,9,FALSE()),""))</f>
        <v/>
      </c>
      <c r="M113" s="8" t="str">
        <f aca="false">IF($A113="","",IF($E113="APPROVATO",1,IF($E113="In svolgimento",IF($F113="",0,$F113),0)))</f>
        <v/>
      </c>
      <c r="N113" s="10" t="str">
        <f aca="false">IF(OR($A113="",$I113="NON MAPPATO",$I113=""),"",$L113*$M113)</f>
        <v/>
      </c>
    </row>
    <row r="114" customFormat="false" ht="15" hidden="false" customHeight="false" outlineLevel="0" collapsed="false">
      <c r="A114" s="6"/>
      <c r="B114" s="7"/>
      <c r="C114" s="6"/>
      <c r="D114" s="6"/>
      <c r="E114" s="6"/>
      <c r="F114" s="8"/>
      <c r="G114" s="9"/>
      <c r="H114" s="7"/>
      <c r="I114" s="6" t="str">
        <f aca="false">IF($A114="","",IFERROR(VLOOKUP($A114,Transcodifica!$A$5:$J$400,5,FALSE()),"NON MAPPATO"))</f>
        <v/>
      </c>
      <c r="J114" s="6" t="str">
        <f aca="false">IF($A114="","",IFERROR(VLOOKUP($A114,Transcodifica!$A$5:$J$400,7,FALSE()),""))</f>
        <v/>
      </c>
      <c r="K114" s="6" t="str">
        <f aca="false">IF($A114="","",IFERROR(VLOOKUP($A114,Transcodifica!$A$5:$J$400,8,FALSE()),""))</f>
        <v/>
      </c>
      <c r="L114" s="6" t="str">
        <f aca="false">IF($A114="","",IFERROR(VLOOKUP($A114,Transcodifica!$A$5:$J$400,9,FALSE()),""))</f>
        <v/>
      </c>
      <c r="M114" s="8" t="str">
        <f aca="false">IF($A114="","",IF($E114="APPROVATO",1,IF($E114="In svolgimento",IF($F114="",0,$F114),0)))</f>
        <v/>
      </c>
      <c r="N114" s="10" t="str">
        <f aca="false">IF(OR($A114="",$I114="NON MAPPATO",$I114=""),"",$L114*$M114)</f>
        <v/>
      </c>
    </row>
    <row r="115" customFormat="false" ht="15" hidden="false" customHeight="false" outlineLevel="0" collapsed="false">
      <c r="A115" s="6"/>
      <c r="B115" s="7"/>
      <c r="C115" s="6"/>
      <c r="D115" s="6"/>
      <c r="E115" s="6"/>
      <c r="F115" s="8"/>
      <c r="G115" s="9"/>
      <c r="H115" s="7"/>
      <c r="I115" s="6" t="str">
        <f aca="false">IF($A115="","",IFERROR(VLOOKUP($A115,Transcodifica!$A$5:$J$400,5,FALSE()),"NON MAPPATO"))</f>
        <v/>
      </c>
      <c r="J115" s="6" t="str">
        <f aca="false">IF($A115="","",IFERROR(VLOOKUP($A115,Transcodifica!$A$5:$J$400,7,FALSE()),""))</f>
        <v/>
      </c>
      <c r="K115" s="6" t="str">
        <f aca="false">IF($A115="","",IFERROR(VLOOKUP($A115,Transcodifica!$A$5:$J$400,8,FALSE()),""))</f>
        <v/>
      </c>
      <c r="L115" s="6" t="str">
        <f aca="false">IF($A115="","",IFERROR(VLOOKUP($A115,Transcodifica!$A$5:$J$400,9,FALSE()),""))</f>
        <v/>
      </c>
      <c r="M115" s="8" t="str">
        <f aca="false">IF($A115="","",IF($E115="APPROVATO",1,IF($E115="In svolgimento",IF($F115="",0,$F115),0)))</f>
        <v/>
      </c>
      <c r="N115" s="10" t="str">
        <f aca="false">IF(OR($A115="",$I115="NON MAPPATO",$I115=""),"",$L115*$M115)</f>
        <v/>
      </c>
    </row>
    <row r="116" customFormat="false" ht="15" hidden="false" customHeight="false" outlineLevel="0" collapsed="false">
      <c r="A116" s="6"/>
      <c r="B116" s="7"/>
      <c r="C116" s="6"/>
      <c r="D116" s="6"/>
      <c r="E116" s="6"/>
      <c r="F116" s="8"/>
      <c r="G116" s="9"/>
      <c r="H116" s="7"/>
      <c r="I116" s="6" t="str">
        <f aca="false">IF($A116="","",IFERROR(VLOOKUP($A116,Transcodifica!$A$5:$J$400,5,FALSE()),"NON MAPPATO"))</f>
        <v/>
      </c>
      <c r="J116" s="6" t="str">
        <f aca="false">IF($A116="","",IFERROR(VLOOKUP($A116,Transcodifica!$A$5:$J$400,7,FALSE()),""))</f>
        <v/>
      </c>
      <c r="K116" s="6" t="str">
        <f aca="false">IF($A116="","",IFERROR(VLOOKUP($A116,Transcodifica!$A$5:$J$400,8,FALSE()),""))</f>
        <v/>
      </c>
      <c r="L116" s="6" t="str">
        <f aca="false">IF($A116="","",IFERROR(VLOOKUP($A116,Transcodifica!$A$5:$J$400,9,FALSE()),""))</f>
        <v/>
      </c>
      <c r="M116" s="8" t="str">
        <f aca="false">IF($A116="","",IF($E116="APPROVATO",1,IF($E116="In svolgimento",IF($F116="",0,$F116),0)))</f>
        <v/>
      </c>
      <c r="N116" s="10" t="str">
        <f aca="false">IF(OR($A116="",$I116="NON MAPPATO",$I116=""),"",$L116*$M116)</f>
        <v/>
      </c>
    </row>
    <row r="117" customFormat="false" ht="15" hidden="false" customHeight="false" outlineLevel="0" collapsed="false">
      <c r="A117" s="6"/>
      <c r="B117" s="7"/>
      <c r="C117" s="6"/>
      <c r="D117" s="6"/>
      <c r="E117" s="6"/>
      <c r="F117" s="8"/>
      <c r="G117" s="9"/>
      <c r="H117" s="7"/>
      <c r="I117" s="6" t="str">
        <f aca="false">IF($A117="","",IFERROR(VLOOKUP($A117,Transcodifica!$A$5:$J$400,5,FALSE()),"NON MAPPATO"))</f>
        <v/>
      </c>
      <c r="J117" s="6" t="str">
        <f aca="false">IF($A117="","",IFERROR(VLOOKUP($A117,Transcodifica!$A$5:$J$400,7,FALSE()),""))</f>
        <v/>
      </c>
      <c r="K117" s="6" t="str">
        <f aca="false">IF($A117="","",IFERROR(VLOOKUP($A117,Transcodifica!$A$5:$J$400,8,FALSE()),""))</f>
        <v/>
      </c>
      <c r="L117" s="6" t="str">
        <f aca="false">IF($A117="","",IFERROR(VLOOKUP($A117,Transcodifica!$A$5:$J$400,9,FALSE()),""))</f>
        <v/>
      </c>
      <c r="M117" s="8" t="str">
        <f aca="false">IF($A117="","",IF($E117="APPROVATO",1,IF($E117="In svolgimento",IF($F117="",0,$F117),0)))</f>
        <v/>
      </c>
      <c r="N117" s="10" t="str">
        <f aca="false">IF(OR($A117="",$I117="NON MAPPATO",$I117=""),"",$L117*$M117)</f>
        <v/>
      </c>
    </row>
    <row r="118" customFormat="false" ht="15" hidden="false" customHeight="false" outlineLevel="0" collapsed="false">
      <c r="A118" s="6"/>
      <c r="B118" s="7"/>
      <c r="C118" s="6"/>
      <c r="D118" s="6"/>
      <c r="E118" s="6"/>
      <c r="F118" s="8"/>
      <c r="G118" s="9"/>
      <c r="H118" s="7"/>
      <c r="I118" s="6" t="str">
        <f aca="false">IF($A118="","",IFERROR(VLOOKUP($A118,Transcodifica!$A$5:$J$400,5,FALSE()),"NON MAPPATO"))</f>
        <v/>
      </c>
      <c r="J118" s="6" t="str">
        <f aca="false">IF($A118="","",IFERROR(VLOOKUP($A118,Transcodifica!$A$5:$J$400,7,FALSE()),""))</f>
        <v/>
      </c>
      <c r="K118" s="6" t="str">
        <f aca="false">IF($A118="","",IFERROR(VLOOKUP($A118,Transcodifica!$A$5:$J$400,8,FALSE()),""))</f>
        <v/>
      </c>
      <c r="L118" s="6" t="str">
        <f aca="false">IF($A118="","",IFERROR(VLOOKUP($A118,Transcodifica!$A$5:$J$400,9,FALSE()),""))</f>
        <v/>
      </c>
      <c r="M118" s="8" t="str">
        <f aca="false">IF($A118="","",IF($E118="APPROVATO",1,IF($E118="In svolgimento",IF($F118="",0,$F118),0)))</f>
        <v/>
      </c>
      <c r="N118" s="10" t="str">
        <f aca="false">IF(OR($A118="",$I118="NON MAPPATO",$I118=""),"",$L118*$M118)</f>
        <v/>
      </c>
    </row>
    <row r="119" customFormat="false" ht="15" hidden="false" customHeight="false" outlineLevel="0" collapsed="false">
      <c r="A119" s="6"/>
      <c r="B119" s="7"/>
      <c r="C119" s="6"/>
      <c r="D119" s="6"/>
      <c r="E119" s="6"/>
      <c r="F119" s="8"/>
      <c r="G119" s="9"/>
      <c r="H119" s="7"/>
      <c r="I119" s="6" t="str">
        <f aca="false">IF($A119="","",IFERROR(VLOOKUP($A119,Transcodifica!$A$5:$J$400,5,FALSE()),"NON MAPPATO"))</f>
        <v/>
      </c>
      <c r="J119" s="6" t="str">
        <f aca="false">IF($A119="","",IFERROR(VLOOKUP($A119,Transcodifica!$A$5:$J$400,7,FALSE()),""))</f>
        <v/>
      </c>
      <c r="K119" s="6" t="str">
        <f aca="false">IF($A119="","",IFERROR(VLOOKUP($A119,Transcodifica!$A$5:$J$400,8,FALSE()),""))</f>
        <v/>
      </c>
      <c r="L119" s="6" t="str">
        <f aca="false">IF($A119="","",IFERROR(VLOOKUP($A119,Transcodifica!$A$5:$J$400,9,FALSE()),""))</f>
        <v/>
      </c>
      <c r="M119" s="8" t="str">
        <f aca="false">IF($A119="","",IF($E119="APPROVATO",1,IF($E119="In svolgimento",IF($F119="",0,$F119),0)))</f>
        <v/>
      </c>
      <c r="N119" s="10" t="str">
        <f aca="false">IF(OR($A119="",$I119="NON MAPPATO",$I119=""),"",$L119*$M119)</f>
        <v/>
      </c>
    </row>
    <row r="120" customFormat="false" ht="15" hidden="false" customHeight="false" outlineLevel="0" collapsed="false">
      <c r="A120" s="6"/>
      <c r="B120" s="7"/>
      <c r="C120" s="6"/>
      <c r="D120" s="6"/>
      <c r="E120" s="6"/>
      <c r="F120" s="8"/>
      <c r="G120" s="9"/>
      <c r="H120" s="7"/>
      <c r="I120" s="6" t="str">
        <f aca="false">IF($A120="","",IFERROR(VLOOKUP($A120,Transcodifica!$A$5:$J$400,5,FALSE()),"NON MAPPATO"))</f>
        <v/>
      </c>
      <c r="J120" s="6" t="str">
        <f aca="false">IF($A120="","",IFERROR(VLOOKUP($A120,Transcodifica!$A$5:$J$400,7,FALSE()),""))</f>
        <v/>
      </c>
      <c r="K120" s="6" t="str">
        <f aca="false">IF($A120="","",IFERROR(VLOOKUP($A120,Transcodifica!$A$5:$J$400,8,FALSE()),""))</f>
        <v/>
      </c>
      <c r="L120" s="6" t="str">
        <f aca="false">IF($A120="","",IFERROR(VLOOKUP($A120,Transcodifica!$A$5:$J$400,9,FALSE()),""))</f>
        <v/>
      </c>
      <c r="M120" s="8" t="str">
        <f aca="false">IF($A120="","",IF($E120="APPROVATO",1,IF($E120="In svolgimento",IF($F120="",0,$F120),0)))</f>
        <v/>
      </c>
      <c r="N120" s="10" t="str">
        <f aca="false">IF(OR($A120="",$I120="NON MAPPATO",$I120=""),"",$L120*$M120)</f>
        <v/>
      </c>
    </row>
    <row r="121" customFormat="false" ht="15" hidden="false" customHeight="false" outlineLevel="0" collapsed="false">
      <c r="A121" s="6"/>
      <c r="B121" s="7"/>
      <c r="C121" s="6"/>
      <c r="D121" s="6"/>
      <c r="E121" s="6"/>
      <c r="F121" s="8"/>
      <c r="G121" s="9"/>
      <c r="H121" s="7"/>
      <c r="I121" s="6" t="str">
        <f aca="false">IF($A121="","",IFERROR(VLOOKUP($A121,Transcodifica!$A$5:$J$400,5,FALSE()),"NON MAPPATO"))</f>
        <v/>
      </c>
      <c r="J121" s="6" t="str">
        <f aca="false">IF($A121="","",IFERROR(VLOOKUP($A121,Transcodifica!$A$5:$J$400,7,FALSE()),""))</f>
        <v/>
      </c>
      <c r="K121" s="6" t="str">
        <f aca="false">IF($A121="","",IFERROR(VLOOKUP($A121,Transcodifica!$A$5:$J$400,8,FALSE()),""))</f>
        <v/>
      </c>
      <c r="L121" s="6" t="str">
        <f aca="false">IF($A121="","",IFERROR(VLOOKUP($A121,Transcodifica!$A$5:$J$400,9,FALSE()),""))</f>
        <v/>
      </c>
      <c r="M121" s="8" t="str">
        <f aca="false">IF($A121="","",IF($E121="APPROVATO",1,IF($E121="In svolgimento",IF($F121="",0,$F121),0)))</f>
        <v/>
      </c>
      <c r="N121" s="10" t="str">
        <f aca="false">IF(OR($A121="",$I121="NON MAPPATO",$I121=""),"",$L121*$M121)</f>
        <v/>
      </c>
    </row>
    <row r="122" customFormat="false" ht="15" hidden="false" customHeight="false" outlineLevel="0" collapsed="false">
      <c r="A122" s="6"/>
      <c r="B122" s="7"/>
      <c r="C122" s="6"/>
      <c r="D122" s="6"/>
      <c r="E122" s="6"/>
      <c r="F122" s="8"/>
      <c r="G122" s="9"/>
      <c r="H122" s="7"/>
      <c r="I122" s="6" t="str">
        <f aca="false">IF($A122="","",IFERROR(VLOOKUP($A122,Transcodifica!$A$5:$J$400,5,FALSE()),"NON MAPPATO"))</f>
        <v/>
      </c>
      <c r="J122" s="6" t="str">
        <f aca="false">IF($A122="","",IFERROR(VLOOKUP($A122,Transcodifica!$A$5:$J$400,7,FALSE()),""))</f>
        <v/>
      </c>
      <c r="K122" s="6" t="str">
        <f aca="false">IF($A122="","",IFERROR(VLOOKUP($A122,Transcodifica!$A$5:$J$400,8,FALSE()),""))</f>
        <v/>
      </c>
      <c r="L122" s="6" t="str">
        <f aca="false">IF($A122="","",IFERROR(VLOOKUP($A122,Transcodifica!$A$5:$J$400,9,FALSE()),""))</f>
        <v/>
      </c>
      <c r="M122" s="8" t="str">
        <f aca="false">IF($A122="","",IF($E122="APPROVATO",1,IF($E122="In svolgimento",IF($F122="",0,$F122),0)))</f>
        <v/>
      </c>
      <c r="N122" s="10" t="str">
        <f aca="false">IF(OR($A122="",$I122="NON MAPPATO",$I122=""),"",$L122*$M122)</f>
        <v/>
      </c>
    </row>
    <row r="123" customFormat="false" ht="15" hidden="false" customHeight="false" outlineLevel="0" collapsed="false">
      <c r="A123" s="6"/>
      <c r="B123" s="7"/>
      <c r="C123" s="6"/>
      <c r="D123" s="6"/>
      <c r="E123" s="6"/>
      <c r="F123" s="8"/>
      <c r="G123" s="9"/>
      <c r="H123" s="7"/>
      <c r="I123" s="6" t="str">
        <f aca="false">IF($A123="","",IFERROR(VLOOKUP($A123,Transcodifica!$A$5:$J$400,5,FALSE()),"NON MAPPATO"))</f>
        <v/>
      </c>
      <c r="J123" s="6" t="str">
        <f aca="false">IF($A123="","",IFERROR(VLOOKUP($A123,Transcodifica!$A$5:$J$400,7,FALSE()),""))</f>
        <v/>
      </c>
      <c r="K123" s="6" t="str">
        <f aca="false">IF($A123="","",IFERROR(VLOOKUP($A123,Transcodifica!$A$5:$J$400,8,FALSE()),""))</f>
        <v/>
      </c>
      <c r="L123" s="6" t="str">
        <f aca="false">IF($A123="","",IFERROR(VLOOKUP($A123,Transcodifica!$A$5:$J$400,9,FALSE()),""))</f>
        <v/>
      </c>
      <c r="M123" s="8" t="str">
        <f aca="false">IF($A123="","",IF($E123="APPROVATO",1,IF($E123="In svolgimento",IF($F123="",0,$F123),0)))</f>
        <v/>
      </c>
      <c r="N123" s="10" t="str">
        <f aca="false">IF(OR($A123="",$I123="NON MAPPATO",$I123=""),"",$L123*$M123)</f>
        <v/>
      </c>
    </row>
    <row r="124" customFormat="false" ht="15" hidden="false" customHeight="false" outlineLevel="0" collapsed="false">
      <c r="A124" s="6"/>
      <c r="B124" s="7"/>
      <c r="C124" s="6"/>
      <c r="D124" s="6"/>
      <c r="E124" s="6"/>
      <c r="F124" s="8"/>
      <c r="G124" s="9"/>
      <c r="H124" s="7"/>
      <c r="I124" s="6" t="str">
        <f aca="false">IF($A124="","",IFERROR(VLOOKUP($A124,Transcodifica!$A$5:$J$400,5,FALSE()),"NON MAPPATO"))</f>
        <v/>
      </c>
      <c r="J124" s="6" t="str">
        <f aca="false">IF($A124="","",IFERROR(VLOOKUP($A124,Transcodifica!$A$5:$J$400,7,FALSE()),""))</f>
        <v/>
      </c>
      <c r="K124" s="6" t="str">
        <f aca="false">IF($A124="","",IFERROR(VLOOKUP($A124,Transcodifica!$A$5:$J$400,8,FALSE()),""))</f>
        <v/>
      </c>
      <c r="L124" s="6" t="str">
        <f aca="false">IF($A124="","",IFERROR(VLOOKUP($A124,Transcodifica!$A$5:$J$400,9,FALSE()),""))</f>
        <v/>
      </c>
      <c r="M124" s="8" t="str">
        <f aca="false">IF($A124="","",IF($E124="APPROVATO",1,IF($E124="In svolgimento",IF($F124="",0,$F124),0)))</f>
        <v/>
      </c>
      <c r="N124" s="10" t="str">
        <f aca="false">IF(OR($A124="",$I124="NON MAPPATO",$I124=""),"",$L124*$M124)</f>
        <v/>
      </c>
    </row>
    <row r="125" customFormat="false" ht="15" hidden="false" customHeight="false" outlineLevel="0" collapsed="false">
      <c r="A125" s="6"/>
      <c r="B125" s="7"/>
      <c r="C125" s="6"/>
      <c r="D125" s="6"/>
      <c r="E125" s="6"/>
      <c r="F125" s="8"/>
      <c r="G125" s="9"/>
      <c r="H125" s="7"/>
      <c r="I125" s="6" t="str">
        <f aca="false">IF($A125="","",IFERROR(VLOOKUP($A125,Transcodifica!$A$5:$J$400,5,FALSE()),"NON MAPPATO"))</f>
        <v/>
      </c>
      <c r="J125" s="6" t="str">
        <f aca="false">IF($A125="","",IFERROR(VLOOKUP($A125,Transcodifica!$A$5:$J$400,7,FALSE()),""))</f>
        <v/>
      </c>
      <c r="K125" s="6" t="str">
        <f aca="false">IF($A125="","",IFERROR(VLOOKUP($A125,Transcodifica!$A$5:$J$400,8,FALSE()),""))</f>
        <v/>
      </c>
      <c r="L125" s="6" t="str">
        <f aca="false">IF($A125="","",IFERROR(VLOOKUP($A125,Transcodifica!$A$5:$J$400,9,FALSE()),""))</f>
        <v/>
      </c>
      <c r="M125" s="8" t="str">
        <f aca="false">IF($A125="","",IF($E125="APPROVATO",1,IF($E125="In svolgimento",IF($F125="",0,$F125),0)))</f>
        <v/>
      </c>
      <c r="N125" s="10" t="str">
        <f aca="false">IF(OR($A125="",$I125="NON MAPPATO",$I125=""),"",$L125*$M125)</f>
        <v/>
      </c>
    </row>
    <row r="126" customFormat="false" ht="15" hidden="false" customHeight="false" outlineLevel="0" collapsed="false">
      <c r="A126" s="6"/>
      <c r="B126" s="7"/>
      <c r="C126" s="6"/>
      <c r="D126" s="6"/>
      <c r="E126" s="6"/>
      <c r="F126" s="8"/>
      <c r="G126" s="9"/>
      <c r="H126" s="7"/>
      <c r="I126" s="6" t="str">
        <f aca="false">IF($A126="","",IFERROR(VLOOKUP($A126,Transcodifica!$A$5:$J$400,5,FALSE()),"NON MAPPATO"))</f>
        <v/>
      </c>
      <c r="J126" s="6" t="str">
        <f aca="false">IF($A126="","",IFERROR(VLOOKUP($A126,Transcodifica!$A$5:$J$400,7,FALSE()),""))</f>
        <v/>
      </c>
      <c r="K126" s="6" t="str">
        <f aca="false">IF($A126="","",IFERROR(VLOOKUP($A126,Transcodifica!$A$5:$J$400,8,FALSE()),""))</f>
        <v/>
      </c>
      <c r="L126" s="6" t="str">
        <f aca="false">IF($A126="","",IFERROR(VLOOKUP($A126,Transcodifica!$A$5:$J$400,9,FALSE()),""))</f>
        <v/>
      </c>
      <c r="M126" s="8" t="str">
        <f aca="false">IF($A126="","",IF($E126="APPROVATO",1,IF($E126="In svolgimento",IF($F126="",0,$F126),0)))</f>
        <v/>
      </c>
      <c r="N126" s="10" t="str">
        <f aca="false">IF(OR($A126="",$I126="NON MAPPATO",$I126=""),"",$L126*$M126)</f>
        <v/>
      </c>
    </row>
    <row r="127" customFormat="false" ht="15" hidden="false" customHeight="false" outlineLevel="0" collapsed="false">
      <c r="A127" s="6"/>
      <c r="B127" s="7"/>
      <c r="C127" s="6"/>
      <c r="D127" s="6"/>
      <c r="E127" s="6"/>
      <c r="F127" s="8"/>
      <c r="G127" s="9"/>
      <c r="H127" s="7"/>
      <c r="I127" s="6" t="str">
        <f aca="false">IF($A127="","",IFERROR(VLOOKUP($A127,Transcodifica!$A$5:$J$400,5,FALSE()),"NON MAPPATO"))</f>
        <v/>
      </c>
      <c r="J127" s="6" t="str">
        <f aca="false">IF($A127="","",IFERROR(VLOOKUP($A127,Transcodifica!$A$5:$J$400,7,FALSE()),""))</f>
        <v/>
      </c>
      <c r="K127" s="6" t="str">
        <f aca="false">IF($A127="","",IFERROR(VLOOKUP($A127,Transcodifica!$A$5:$J$400,8,FALSE()),""))</f>
        <v/>
      </c>
      <c r="L127" s="6" t="str">
        <f aca="false">IF($A127="","",IFERROR(VLOOKUP($A127,Transcodifica!$A$5:$J$400,9,FALSE()),""))</f>
        <v/>
      </c>
      <c r="M127" s="8" t="str">
        <f aca="false">IF($A127="","",IF($E127="APPROVATO",1,IF($E127="In svolgimento",IF($F127="",0,$F127),0)))</f>
        <v/>
      </c>
      <c r="N127" s="10" t="str">
        <f aca="false">IF(OR($A127="",$I127="NON MAPPATO",$I127=""),"",$L127*$M127)</f>
        <v/>
      </c>
    </row>
    <row r="128" customFormat="false" ht="15" hidden="false" customHeight="false" outlineLevel="0" collapsed="false">
      <c r="A128" s="6"/>
      <c r="B128" s="7"/>
      <c r="C128" s="6"/>
      <c r="D128" s="6"/>
      <c r="E128" s="6"/>
      <c r="F128" s="8"/>
      <c r="G128" s="9"/>
      <c r="H128" s="7"/>
      <c r="I128" s="6" t="str">
        <f aca="false">IF($A128="","",IFERROR(VLOOKUP($A128,Transcodifica!$A$5:$J$400,5,FALSE()),"NON MAPPATO"))</f>
        <v/>
      </c>
      <c r="J128" s="6" t="str">
        <f aca="false">IF($A128="","",IFERROR(VLOOKUP($A128,Transcodifica!$A$5:$J$400,7,FALSE()),""))</f>
        <v/>
      </c>
      <c r="K128" s="6" t="str">
        <f aca="false">IF($A128="","",IFERROR(VLOOKUP($A128,Transcodifica!$A$5:$J$400,8,FALSE()),""))</f>
        <v/>
      </c>
      <c r="L128" s="6" t="str">
        <f aca="false">IF($A128="","",IFERROR(VLOOKUP($A128,Transcodifica!$A$5:$J$400,9,FALSE()),""))</f>
        <v/>
      </c>
      <c r="M128" s="8" t="str">
        <f aca="false">IF($A128="","",IF($E128="APPROVATO",1,IF($E128="In svolgimento",IF($F128="",0,$F128),0)))</f>
        <v/>
      </c>
      <c r="N128" s="10" t="str">
        <f aca="false">IF(OR($A128="",$I128="NON MAPPATO",$I128=""),"",$L128*$M128)</f>
        <v/>
      </c>
    </row>
    <row r="129" customFormat="false" ht="15" hidden="false" customHeight="false" outlineLevel="0" collapsed="false">
      <c r="A129" s="6"/>
      <c r="B129" s="7"/>
      <c r="C129" s="6"/>
      <c r="D129" s="6"/>
      <c r="E129" s="6"/>
      <c r="F129" s="8"/>
      <c r="G129" s="9"/>
      <c r="H129" s="7"/>
      <c r="I129" s="6" t="str">
        <f aca="false">IF($A129="","",IFERROR(VLOOKUP($A129,Transcodifica!$A$5:$J$400,5,FALSE()),"NON MAPPATO"))</f>
        <v/>
      </c>
      <c r="J129" s="6" t="str">
        <f aca="false">IF($A129="","",IFERROR(VLOOKUP($A129,Transcodifica!$A$5:$J$400,7,FALSE()),""))</f>
        <v/>
      </c>
      <c r="K129" s="6" t="str">
        <f aca="false">IF($A129="","",IFERROR(VLOOKUP($A129,Transcodifica!$A$5:$J$400,8,FALSE()),""))</f>
        <v/>
      </c>
      <c r="L129" s="6" t="str">
        <f aca="false">IF($A129="","",IFERROR(VLOOKUP($A129,Transcodifica!$A$5:$J$400,9,FALSE()),""))</f>
        <v/>
      </c>
      <c r="M129" s="8" t="str">
        <f aca="false">IF($A129="","",IF($E129="APPROVATO",1,IF($E129="In svolgimento",IF($F129="",0,$F129),0)))</f>
        <v/>
      </c>
      <c r="N129" s="10" t="str">
        <f aca="false">IF(OR($A129="",$I129="NON MAPPATO",$I129=""),"",$L129*$M129)</f>
        <v/>
      </c>
    </row>
    <row r="130" customFormat="false" ht="15" hidden="false" customHeight="false" outlineLevel="0" collapsed="false">
      <c r="A130" s="6"/>
      <c r="B130" s="7"/>
      <c r="C130" s="6"/>
      <c r="D130" s="6"/>
      <c r="E130" s="6"/>
      <c r="F130" s="8"/>
      <c r="G130" s="9"/>
      <c r="H130" s="7"/>
      <c r="I130" s="6" t="str">
        <f aca="false">IF($A130="","",IFERROR(VLOOKUP($A130,Transcodifica!$A$5:$J$400,5,FALSE()),"NON MAPPATO"))</f>
        <v/>
      </c>
      <c r="J130" s="6" t="str">
        <f aca="false">IF($A130="","",IFERROR(VLOOKUP($A130,Transcodifica!$A$5:$J$400,7,FALSE()),""))</f>
        <v/>
      </c>
      <c r="K130" s="6" t="str">
        <f aca="false">IF($A130="","",IFERROR(VLOOKUP($A130,Transcodifica!$A$5:$J$400,8,FALSE()),""))</f>
        <v/>
      </c>
      <c r="L130" s="6" t="str">
        <f aca="false">IF($A130="","",IFERROR(VLOOKUP($A130,Transcodifica!$A$5:$J$400,9,FALSE()),""))</f>
        <v/>
      </c>
      <c r="M130" s="8" t="str">
        <f aca="false">IF($A130="","",IF($E130="APPROVATO",1,IF($E130="In svolgimento",IF($F130="",0,$F130),0)))</f>
        <v/>
      </c>
      <c r="N130" s="10" t="str">
        <f aca="false">IF(OR($A130="",$I130="NON MAPPATO",$I130=""),"",$L130*$M130)</f>
        <v/>
      </c>
    </row>
    <row r="131" customFormat="false" ht="15" hidden="false" customHeight="false" outlineLevel="0" collapsed="false">
      <c r="A131" s="6"/>
      <c r="B131" s="7"/>
      <c r="C131" s="6"/>
      <c r="D131" s="6"/>
      <c r="E131" s="6"/>
      <c r="F131" s="8"/>
      <c r="G131" s="9"/>
      <c r="H131" s="7"/>
      <c r="I131" s="6" t="str">
        <f aca="false">IF($A131="","",IFERROR(VLOOKUP($A131,Transcodifica!$A$5:$J$400,5,FALSE()),"NON MAPPATO"))</f>
        <v/>
      </c>
      <c r="J131" s="6" t="str">
        <f aca="false">IF($A131="","",IFERROR(VLOOKUP($A131,Transcodifica!$A$5:$J$400,7,FALSE()),""))</f>
        <v/>
      </c>
      <c r="K131" s="6" t="str">
        <f aca="false">IF($A131="","",IFERROR(VLOOKUP($A131,Transcodifica!$A$5:$J$400,8,FALSE()),""))</f>
        <v/>
      </c>
      <c r="L131" s="6" t="str">
        <f aca="false">IF($A131="","",IFERROR(VLOOKUP($A131,Transcodifica!$A$5:$J$400,9,FALSE()),""))</f>
        <v/>
      </c>
      <c r="M131" s="8" t="str">
        <f aca="false">IF($A131="","",IF($E131="APPROVATO",1,IF($E131="In svolgimento",IF($F131="",0,$F131),0)))</f>
        <v/>
      </c>
      <c r="N131" s="10" t="str">
        <f aca="false">IF(OR($A131="",$I131="NON MAPPATO",$I131=""),"",$L131*$M131)</f>
        <v/>
      </c>
    </row>
    <row r="132" customFormat="false" ht="15" hidden="false" customHeight="false" outlineLevel="0" collapsed="false">
      <c r="A132" s="6"/>
      <c r="B132" s="7"/>
      <c r="C132" s="6"/>
      <c r="D132" s="6"/>
      <c r="E132" s="6"/>
      <c r="F132" s="8"/>
      <c r="G132" s="9"/>
      <c r="H132" s="7"/>
      <c r="I132" s="6" t="str">
        <f aca="false">IF($A132="","",IFERROR(VLOOKUP($A132,Transcodifica!$A$5:$J$400,5,FALSE()),"NON MAPPATO"))</f>
        <v/>
      </c>
      <c r="J132" s="6" t="str">
        <f aca="false">IF($A132="","",IFERROR(VLOOKUP($A132,Transcodifica!$A$5:$J$400,7,FALSE()),""))</f>
        <v/>
      </c>
      <c r="K132" s="6" t="str">
        <f aca="false">IF($A132="","",IFERROR(VLOOKUP($A132,Transcodifica!$A$5:$J$400,8,FALSE()),""))</f>
        <v/>
      </c>
      <c r="L132" s="6" t="str">
        <f aca="false">IF($A132="","",IFERROR(VLOOKUP($A132,Transcodifica!$A$5:$J$400,9,FALSE()),""))</f>
        <v/>
      </c>
      <c r="M132" s="8" t="str">
        <f aca="false">IF($A132="","",IF($E132="APPROVATO",1,IF($E132="In svolgimento",IF($F132="",0,$F132),0)))</f>
        <v/>
      </c>
      <c r="N132" s="10" t="str">
        <f aca="false">IF(OR($A132="",$I132="NON MAPPATO",$I132=""),"",$L132*$M132)</f>
        <v/>
      </c>
    </row>
    <row r="133" customFormat="false" ht="15" hidden="false" customHeight="false" outlineLevel="0" collapsed="false">
      <c r="A133" s="6"/>
      <c r="B133" s="7"/>
      <c r="C133" s="6"/>
      <c r="D133" s="6"/>
      <c r="E133" s="6"/>
      <c r="F133" s="8"/>
      <c r="G133" s="9"/>
      <c r="H133" s="7"/>
      <c r="I133" s="6" t="str">
        <f aca="false">IF($A133="","",IFERROR(VLOOKUP($A133,Transcodifica!$A$5:$J$400,5,FALSE()),"NON MAPPATO"))</f>
        <v/>
      </c>
      <c r="J133" s="6" t="str">
        <f aca="false">IF($A133="","",IFERROR(VLOOKUP($A133,Transcodifica!$A$5:$J$400,7,FALSE()),""))</f>
        <v/>
      </c>
      <c r="K133" s="6" t="str">
        <f aca="false">IF($A133="","",IFERROR(VLOOKUP($A133,Transcodifica!$A$5:$J$400,8,FALSE()),""))</f>
        <v/>
      </c>
      <c r="L133" s="6" t="str">
        <f aca="false">IF($A133="","",IFERROR(VLOOKUP($A133,Transcodifica!$A$5:$J$400,9,FALSE()),""))</f>
        <v/>
      </c>
      <c r="M133" s="8" t="str">
        <f aca="false">IF($A133="","",IF($E133="APPROVATO",1,IF($E133="In svolgimento",IF($F133="",0,$F133),0)))</f>
        <v/>
      </c>
      <c r="N133" s="10" t="str">
        <f aca="false">IF(OR($A133="",$I133="NON MAPPATO",$I133=""),"",$L133*$M133)</f>
        <v/>
      </c>
    </row>
    <row r="134" customFormat="false" ht="15" hidden="false" customHeight="false" outlineLevel="0" collapsed="false">
      <c r="A134" s="6"/>
      <c r="B134" s="7"/>
      <c r="C134" s="6"/>
      <c r="D134" s="6"/>
      <c r="E134" s="6"/>
      <c r="F134" s="8"/>
      <c r="G134" s="9"/>
      <c r="H134" s="7"/>
      <c r="I134" s="6" t="str">
        <f aca="false">IF($A134="","",IFERROR(VLOOKUP($A134,Transcodifica!$A$5:$J$400,5,FALSE()),"NON MAPPATO"))</f>
        <v/>
      </c>
      <c r="J134" s="6" t="str">
        <f aca="false">IF($A134="","",IFERROR(VLOOKUP($A134,Transcodifica!$A$5:$J$400,7,FALSE()),""))</f>
        <v/>
      </c>
      <c r="K134" s="6" t="str">
        <f aca="false">IF($A134="","",IFERROR(VLOOKUP($A134,Transcodifica!$A$5:$J$400,8,FALSE()),""))</f>
        <v/>
      </c>
      <c r="L134" s="6" t="str">
        <f aca="false">IF($A134="","",IFERROR(VLOOKUP($A134,Transcodifica!$A$5:$J$400,9,FALSE()),""))</f>
        <v/>
      </c>
      <c r="M134" s="8" t="str">
        <f aca="false">IF($A134="","",IF($E134="APPROVATO",1,IF($E134="In svolgimento",IF($F134="",0,$F134),0)))</f>
        <v/>
      </c>
      <c r="N134" s="10" t="str">
        <f aca="false">IF(OR($A134="",$I134="NON MAPPATO",$I134=""),"",$L134*$M134)</f>
        <v/>
      </c>
    </row>
    <row r="135" customFormat="false" ht="15" hidden="false" customHeight="false" outlineLevel="0" collapsed="false">
      <c r="A135" s="6"/>
      <c r="B135" s="7"/>
      <c r="C135" s="6"/>
      <c r="D135" s="6"/>
      <c r="E135" s="6"/>
      <c r="F135" s="8"/>
      <c r="G135" s="9"/>
      <c r="H135" s="7"/>
      <c r="I135" s="6" t="str">
        <f aca="false">IF($A135="","",IFERROR(VLOOKUP($A135,Transcodifica!$A$5:$J$400,5,FALSE()),"NON MAPPATO"))</f>
        <v/>
      </c>
      <c r="J135" s="6" t="str">
        <f aca="false">IF($A135="","",IFERROR(VLOOKUP($A135,Transcodifica!$A$5:$J$400,7,FALSE()),""))</f>
        <v/>
      </c>
      <c r="K135" s="6" t="str">
        <f aca="false">IF($A135="","",IFERROR(VLOOKUP($A135,Transcodifica!$A$5:$J$400,8,FALSE()),""))</f>
        <v/>
      </c>
      <c r="L135" s="6" t="str">
        <f aca="false">IF($A135="","",IFERROR(VLOOKUP($A135,Transcodifica!$A$5:$J$400,9,FALSE()),""))</f>
        <v/>
      </c>
      <c r="M135" s="8" t="str">
        <f aca="false">IF($A135="","",IF($E135="APPROVATO",1,IF($E135="In svolgimento",IF($F135="",0,$F135),0)))</f>
        <v/>
      </c>
      <c r="N135" s="10" t="str">
        <f aca="false">IF(OR($A135="",$I135="NON MAPPATO",$I135=""),"",$L135*$M135)</f>
        <v/>
      </c>
    </row>
    <row r="136" customFormat="false" ht="15" hidden="false" customHeight="false" outlineLevel="0" collapsed="false">
      <c r="A136" s="6"/>
      <c r="B136" s="7"/>
      <c r="C136" s="6"/>
      <c r="D136" s="6"/>
      <c r="E136" s="6"/>
      <c r="F136" s="8"/>
      <c r="G136" s="9"/>
      <c r="H136" s="7"/>
      <c r="I136" s="6" t="str">
        <f aca="false">IF($A136="","",IFERROR(VLOOKUP($A136,Transcodifica!$A$5:$J$400,5,FALSE()),"NON MAPPATO"))</f>
        <v/>
      </c>
      <c r="J136" s="6" t="str">
        <f aca="false">IF($A136="","",IFERROR(VLOOKUP($A136,Transcodifica!$A$5:$J$400,7,FALSE()),""))</f>
        <v/>
      </c>
      <c r="K136" s="6" t="str">
        <f aca="false">IF($A136="","",IFERROR(VLOOKUP($A136,Transcodifica!$A$5:$J$400,8,FALSE()),""))</f>
        <v/>
      </c>
      <c r="L136" s="6" t="str">
        <f aca="false">IF($A136="","",IFERROR(VLOOKUP($A136,Transcodifica!$A$5:$J$400,9,FALSE()),""))</f>
        <v/>
      </c>
      <c r="M136" s="8" t="str">
        <f aca="false">IF($A136="","",IF($E136="APPROVATO",1,IF($E136="In svolgimento",IF($F136="",0,$F136),0)))</f>
        <v/>
      </c>
      <c r="N136" s="10" t="str">
        <f aca="false">IF(OR($A136="",$I136="NON MAPPATO",$I136=""),"",$L136*$M136)</f>
        <v/>
      </c>
    </row>
    <row r="137" customFormat="false" ht="15" hidden="false" customHeight="false" outlineLevel="0" collapsed="false">
      <c r="A137" s="6"/>
      <c r="B137" s="7"/>
      <c r="C137" s="6"/>
      <c r="D137" s="6"/>
      <c r="E137" s="6"/>
      <c r="F137" s="8"/>
      <c r="G137" s="9"/>
      <c r="H137" s="7"/>
      <c r="I137" s="6" t="str">
        <f aca="false">IF($A137="","",IFERROR(VLOOKUP($A137,Transcodifica!$A$5:$J$400,5,FALSE()),"NON MAPPATO"))</f>
        <v/>
      </c>
      <c r="J137" s="6" t="str">
        <f aca="false">IF($A137="","",IFERROR(VLOOKUP($A137,Transcodifica!$A$5:$J$400,7,FALSE()),""))</f>
        <v/>
      </c>
      <c r="K137" s="6" t="str">
        <f aca="false">IF($A137="","",IFERROR(VLOOKUP($A137,Transcodifica!$A$5:$J$400,8,FALSE()),""))</f>
        <v/>
      </c>
      <c r="L137" s="6" t="str">
        <f aca="false">IF($A137="","",IFERROR(VLOOKUP($A137,Transcodifica!$A$5:$J$400,9,FALSE()),""))</f>
        <v/>
      </c>
      <c r="M137" s="8" t="str">
        <f aca="false">IF($A137="","",IF($E137="APPROVATO",1,IF($E137="In svolgimento",IF($F137="",0,$F137),0)))</f>
        <v/>
      </c>
      <c r="N137" s="10" t="str">
        <f aca="false">IF(OR($A137="",$I137="NON MAPPATO",$I137=""),"",$L137*$M137)</f>
        <v/>
      </c>
    </row>
    <row r="138" customFormat="false" ht="15" hidden="false" customHeight="false" outlineLevel="0" collapsed="false">
      <c r="A138" s="6"/>
      <c r="B138" s="7"/>
      <c r="C138" s="6"/>
      <c r="D138" s="6"/>
      <c r="E138" s="6"/>
      <c r="F138" s="8"/>
      <c r="G138" s="9"/>
      <c r="H138" s="7"/>
      <c r="I138" s="6" t="str">
        <f aca="false">IF($A138="","",IFERROR(VLOOKUP($A138,Transcodifica!$A$5:$J$400,5,FALSE()),"NON MAPPATO"))</f>
        <v/>
      </c>
      <c r="J138" s="6" t="str">
        <f aca="false">IF($A138="","",IFERROR(VLOOKUP($A138,Transcodifica!$A$5:$J$400,7,FALSE()),""))</f>
        <v/>
      </c>
      <c r="K138" s="6" t="str">
        <f aca="false">IF($A138="","",IFERROR(VLOOKUP($A138,Transcodifica!$A$5:$J$400,8,FALSE()),""))</f>
        <v/>
      </c>
      <c r="L138" s="6" t="str">
        <f aca="false">IF($A138="","",IFERROR(VLOOKUP($A138,Transcodifica!$A$5:$J$400,9,FALSE()),""))</f>
        <v/>
      </c>
      <c r="M138" s="8" t="str">
        <f aca="false">IF($A138="","",IF($E138="APPROVATO",1,IF($E138="In svolgimento",IF($F138="",0,$F138),0)))</f>
        <v/>
      </c>
      <c r="N138" s="10" t="str">
        <f aca="false">IF(OR($A138="",$I138="NON MAPPATO",$I138=""),"",$L138*$M138)</f>
        <v/>
      </c>
    </row>
    <row r="139" customFormat="false" ht="15" hidden="false" customHeight="false" outlineLevel="0" collapsed="false">
      <c r="A139" s="6"/>
      <c r="B139" s="7"/>
      <c r="C139" s="6"/>
      <c r="D139" s="6"/>
      <c r="E139" s="6"/>
      <c r="F139" s="8"/>
      <c r="G139" s="9"/>
      <c r="H139" s="7"/>
      <c r="I139" s="6" t="str">
        <f aca="false">IF($A139="","",IFERROR(VLOOKUP($A139,Transcodifica!$A$5:$J$400,5,FALSE()),"NON MAPPATO"))</f>
        <v/>
      </c>
      <c r="J139" s="6" t="str">
        <f aca="false">IF($A139="","",IFERROR(VLOOKUP($A139,Transcodifica!$A$5:$J$400,7,FALSE()),""))</f>
        <v/>
      </c>
      <c r="K139" s="6" t="str">
        <f aca="false">IF($A139="","",IFERROR(VLOOKUP($A139,Transcodifica!$A$5:$J$400,8,FALSE()),""))</f>
        <v/>
      </c>
      <c r="L139" s="6" t="str">
        <f aca="false">IF($A139="","",IFERROR(VLOOKUP($A139,Transcodifica!$A$5:$J$400,9,FALSE()),""))</f>
        <v/>
      </c>
      <c r="M139" s="8" t="str">
        <f aca="false">IF($A139="","",IF($E139="APPROVATO",1,IF($E139="In svolgimento",IF($F139="",0,$F139),0)))</f>
        <v/>
      </c>
      <c r="N139" s="10" t="str">
        <f aca="false">IF(OR($A139="",$I139="NON MAPPATO",$I139=""),"",$L139*$M139)</f>
        <v/>
      </c>
    </row>
    <row r="140" customFormat="false" ht="15" hidden="false" customHeight="false" outlineLevel="0" collapsed="false">
      <c r="A140" s="6"/>
      <c r="B140" s="7"/>
      <c r="C140" s="6"/>
      <c r="D140" s="6"/>
      <c r="E140" s="6"/>
      <c r="F140" s="8"/>
      <c r="G140" s="9"/>
      <c r="H140" s="7"/>
      <c r="I140" s="6" t="str">
        <f aca="false">IF($A140="","",IFERROR(VLOOKUP($A140,Transcodifica!$A$5:$J$400,5,FALSE()),"NON MAPPATO"))</f>
        <v/>
      </c>
      <c r="J140" s="6" t="str">
        <f aca="false">IF($A140="","",IFERROR(VLOOKUP($A140,Transcodifica!$A$5:$J$400,7,FALSE()),""))</f>
        <v/>
      </c>
      <c r="K140" s="6" t="str">
        <f aca="false">IF($A140="","",IFERROR(VLOOKUP($A140,Transcodifica!$A$5:$J$400,8,FALSE()),""))</f>
        <v/>
      </c>
      <c r="L140" s="6" t="str">
        <f aca="false">IF($A140="","",IFERROR(VLOOKUP($A140,Transcodifica!$A$5:$J$400,9,FALSE()),""))</f>
        <v/>
      </c>
      <c r="M140" s="8" t="str">
        <f aca="false">IF($A140="","",IF($E140="APPROVATO",1,IF($E140="In svolgimento",IF($F140="",0,$F140),0)))</f>
        <v/>
      </c>
      <c r="N140" s="10" t="str">
        <f aca="false">IF(OR($A140="",$I140="NON MAPPATO",$I140=""),"",$L140*$M140)</f>
        <v/>
      </c>
    </row>
    <row r="141" customFormat="false" ht="15" hidden="false" customHeight="false" outlineLevel="0" collapsed="false">
      <c r="A141" s="6"/>
      <c r="B141" s="7"/>
      <c r="C141" s="6"/>
      <c r="D141" s="6"/>
      <c r="E141" s="6"/>
      <c r="F141" s="8"/>
      <c r="G141" s="9"/>
      <c r="H141" s="7"/>
      <c r="I141" s="6" t="str">
        <f aca="false">IF($A141="","",IFERROR(VLOOKUP($A141,Transcodifica!$A$5:$J$400,5,FALSE()),"NON MAPPATO"))</f>
        <v/>
      </c>
      <c r="J141" s="6" t="str">
        <f aca="false">IF($A141="","",IFERROR(VLOOKUP($A141,Transcodifica!$A$5:$J$400,7,FALSE()),""))</f>
        <v/>
      </c>
      <c r="K141" s="6" t="str">
        <f aca="false">IF($A141="","",IFERROR(VLOOKUP($A141,Transcodifica!$A$5:$J$400,8,FALSE()),""))</f>
        <v/>
      </c>
      <c r="L141" s="6" t="str">
        <f aca="false">IF($A141="","",IFERROR(VLOOKUP($A141,Transcodifica!$A$5:$J$400,9,FALSE()),""))</f>
        <v/>
      </c>
      <c r="M141" s="8" t="str">
        <f aca="false">IF($A141="","",IF($E141="APPROVATO",1,IF($E141="In svolgimento",IF($F141="",0,$F141),0)))</f>
        <v/>
      </c>
      <c r="N141" s="10" t="str">
        <f aca="false">IF(OR($A141="",$I141="NON MAPPATO",$I141=""),"",$L141*$M141)</f>
        <v/>
      </c>
    </row>
    <row r="142" customFormat="false" ht="15" hidden="false" customHeight="false" outlineLevel="0" collapsed="false">
      <c r="A142" s="6"/>
      <c r="B142" s="7"/>
      <c r="C142" s="6"/>
      <c r="D142" s="6"/>
      <c r="E142" s="6"/>
      <c r="F142" s="8"/>
      <c r="G142" s="9"/>
      <c r="H142" s="7"/>
      <c r="I142" s="6" t="str">
        <f aca="false">IF($A142="","",IFERROR(VLOOKUP($A142,Transcodifica!$A$5:$J$400,5,FALSE()),"NON MAPPATO"))</f>
        <v/>
      </c>
      <c r="J142" s="6" t="str">
        <f aca="false">IF($A142="","",IFERROR(VLOOKUP($A142,Transcodifica!$A$5:$J$400,7,FALSE()),""))</f>
        <v/>
      </c>
      <c r="K142" s="6" t="str">
        <f aca="false">IF($A142="","",IFERROR(VLOOKUP($A142,Transcodifica!$A$5:$J$400,8,FALSE()),""))</f>
        <v/>
      </c>
      <c r="L142" s="6" t="str">
        <f aca="false">IF($A142="","",IFERROR(VLOOKUP($A142,Transcodifica!$A$5:$J$400,9,FALSE()),""))</f>
        <v/>
      </c>
      <c r="M142" s="8" t="str">
        <f aca="false">IF($A142="","",IF($E142="APPROVATO",1,IF($E142="In svolgimento",IF($F142="",0,$F142),0)))</f>
        <v/>
      </c>
      <c r="N142" s="10" t="str">
        <f aca="false">IF(OR($A142="",$I142="NON MAPPATO",$I142=""),"",$L142*$M142)</f>
        <v/>
      </c>
    </row>
    <row r="143" customFormat="false" ht="15" hidden="false" customHeight="false" outlineLevel="0" collapsed="false">
      <c r="A143" s="6"/>
      <c r="B143" s="7"/>
      <c r="C143" s="6"/>
      <c r="D143" s="6"/>
      <c r="E143" s="6"/>
      <c r="F143" s="8"/>
      <c r="G143" s="9"/>
      <c r="H143" s="7"/>
      <c r="I143" s="6" t="str">
        <f aca="false">IF($A143="","",IFERROR(VLOOKUP($A143,Transcodifica!$A$5:$J$400,5,FALSE()),"NON MAPPATO"))</f>
        <v/>
      </c>
      <c r="J143" s="6" t="str">
        <f aca="false">IF($A143="","",IFERROR(VLOOKUP($A143,Transcodifica!$A$5:$J$400,7,FALSE()),""))</f>
        <v/>
      </c>
      <c r="K143" s="6" t="str">
        <f aca="false">IF($A143="","",IFERROR(VLOOKUP($A143,Transcodifica!$A$5:$J$400,8,FALSE()),""))</f>
        <v/>
      </c>
      <c r="L143" s="6" t="str">
        <f aca="false">IF($A143="","",IFERROR(VLOOKUP($A143,Transcodifica!$A$5:$J$400,9,FALSE()),""))</f>
        <v/>
      </c>
      <c r="M143" s="8" t="str">
        <f aca="false">IF($A143="","",IF($E143="APPROVATO",1,IF($E143="In svolgimento",IF($F143="",0,$F143),0)))</f>
        <v/>
      </c>
      <c r="N143" s="10" t="str">
        <f aca="false">IF(OR($A143="",$I143="NON MAPPATO",$I143=""),"",$L143*$M143)</f>
        <v/>
      </c>
    </row>
    <row r="144" customFormat="false" ht="15" hidden="false" customHeight="false" outlineLevel="0" collapsed="false">
      <c r="A144" s="6"/>
      <c r="B144" s="7"/>
      <c r="C144" s="6"/>
      <c r="D144" s="6"/>
      <c r="E144" s="6"/>
      <c r="F144" s="8"/>
      <c r="G144" s="9"/>
      <c r="H144" s="7"/>
      <c r="I144" s="6" t="str">
        <f aca="false">IF($A144="","",IFERROR(VLOOKUP($A144,Transcodifica!$A$5:$J$400,5,FALSE()),"NON MAPPATO"))</f>
        <v/>
      </c>
      <c r="J144" s="6" t="str">
        <f aca="false">IF($A144="","",IFERROR(VLOOKUP($A144,Transcodifica!$A$5:$J$400,7,FALSE()),""))</f>
        <v/>
      </c>
      <c r="K144" s="6" t="str">
        <f aca="false">IF($A144="","",IFERROR(VLOOKUP($A144,Transcodifica!$A$5:$J$400,8,FALSE()),""))</f>
        <v/>
      </c>
      <c r="L144" s="6" t="str">
        <f aca="false">IF($A144="","",IFERROR(VLOOKUP($A144,Transcodifica!$A$5:$J$400,9,FALSE()),""))</f>
        <v/>
      </c>
      <c r="M144" s="8" t="str">
        <f aca="false">IF($A144="","",IF($E144="APPROVATO",1,IF($E144="In svolgimento",IF($F144="",0,$F144),0)))</f>
        <v/>
      </c>
      <c r="N144" s="10" t="str">
        <f aca="false">IF(OR($A144="",$I144="NON MAPPATO",$I144=""),"",$L144*$M144)</f>
        <v/>
      </c>
    </row>
    <row r="145" customFormat="false" ht="15" hidden="false" customHeight="false" outlineLevel="0" collapsed="false">
      <c r="A145" s="6"/>
      <c r="B145" s="7"/>
      <c r="C145" s="6"/>
      <c r="D145" s="6"/>
      <c r="E145" s="6"/>
      <c r="F145" s="8"/>
      <c r="G145" s="9"/>
      <c r="H145" s="7"/>
      <c r="I145" s="6" t="str">
        <f aca="false">IF($A145="","",IFERROR(VLOOKUP($A145,Transcodifica!$A$5:$J$400,5,FALSE()),"NON MAPPATO"))</f>
        <v/>
      </c>
      <c r="J145" s="6" t="str">
        <f aca="false">IF($A145="","",IFERROR(VLOOKUP($A145,Transcodifica!$A$5:$J$400,7,FALSE()),""))</f>
        <v/>
      </c>
      <c r="K145" s="6" t="str">
        <f aca="false">IF($A145="","",IFERROR(VLOOKUP($A145,Transcodifica!$A$5:$J$400,8,FALSE()),""))</f>
        <v/>
      </c>
      <c r="L145" s="6" t="str">
        <f aca="false">IF($A145="","",IFERROR(VLOOKUP($A145,Transcodifica!$A$5:$J$400,9,FALSE()),""))</f>
        <v/>
      </c>
      <c r="M145" s="8" t="str">
        <f aca="false">IF($A145="","",IF($E145="APPROVATO",1,IF($E145="In svolgimento",IF($F145="",0,$F145),0)))</f>
        <v/>
      </c>
      <c r="N145" s="10" t="str">
        <f aca="false">IF(OR($A145="",$I145="NON MAPPATO",$I145=""),"",$L145*$M145)</f>
        <v/>
      </c>
    </row>
    <row r="146" customFormat="false" ht="15" hidden="false" customHeight="false" outlineLevel="0" collapsed="false">
      <c r="A146" s="6"/>
      <c r="B146" s="7"/>
      <c r="C146" s="6"/>
      <c r="D146" s="6"/>
      <c r="E146" s="6"/>
      <c r="F146" s="8"/>
      <c r="G146" s="9"/>
      <c r="H146" s="7"/>
      <c r="I146" s="6" t="str">
        <f aca="false">IF($A146="","",IFERROR(VLOOKUP($A146,Transcodifica!$A$5:$J$400,5,FALSE()),"NON MAPPATO"))</f>
        <v/>
      </c>
      <c r="J146" s="6" t="str">
        <f aca="false">IF($A146="","",IFERROR(VLOOKUP($A146,Transcodifica!$A$5:$J$400,7,FALSE()),""))</f>
        <v/>
      </c>
      <c r="K146" s="6" t="str">
        <f aca="false">IF($A146="","",IFERROR(VLOOKUP($A146,Transcodifica!$A$5:$J$400,8,FALSE()),""))</f>
        <v/>
      </c>
      <c r="L146" s="6" t="str">
        <f aca="false">IF($A146="","",IFERROR(VLOOKUP($A146,Transcodifica!$A$5:$J$400,9,FALSE()),""))</f>
        <v/>
      </c>
      <c r="M146" s="8" t="str">
        <f aca="false">IF($A146="","",IF($E146="APPROVATO",1,IF($E146="In svolgimento",IF($F146="",0,$F146),0)))</f>
        <v/>
      </c>
      <c r="N146" s="10" t="str">
        <f aca="false">IF(OR($A146="",$I146="NON MAPPATO",$I146=""),"",$L146*$M146)</f>
        <v/>
      </c>
    </row>
    <row r="147" customFormat="false" ht="15" hidden="false" customHeight="false" outlineLevel="0" collapsed="false">
      <c r="A147" s="6"/>
      <c r="B147" s="7"/>
      <c r="C147" s="6"/>
      <c r="D147" s="6"/>
      <c r="E147" s="6"/>
      <c r="F147" s="8"/>
      <c r="G147" s="9"/>
      <c r="H147" s="7"/>
      <c r="I147" s="6" t="str">
        <f aca="false">IF($A147="","",IFERROR(VLOOKUP($A147,Transcodifica!$A$5:$J$400,5,FALSE()),"NON MAPPATO"))</f>
        <v/>
      </c>
      <c r="J147" s="6" t="str">
        <f aca="false">IF($A147="","",IFERROR(VLOOKUP($A147,Transcodifica!$A$5:$J$400,7,FALSE()),""))</f>
        <v/>
      </c>
      <c r="K147" s="6" t="str">
        <f aca="false">IF($A147="","",IFERROR(VLOOKUP($A147,Transcodifica!$A$5:$J$400,8,FALSE()),""))</f>
        <v/>
      </c>
      <c r="L147" s="6" t="str">
        <f aca="false">IF($A147="","",IFERROR(VLOOKUP($A147,Transcodifica!$A$5:$J$400,9,FALSE()),""))</f>
        <v/>
      </c>
      <c r="M147" s="8" t="str">
        <f aca="false">IF($A147="","",IF($E147="APPROVATO",1,IF($E147="In svolgimento",IF($F147="",0,$F147),0)))</f>
        <v/>
      </c>
      <c r="N147" s="10" t="str">
        <f aca="false">IF(OR($A147="",$I147="NON MAPPATO",$I147=""),"",$L147*$M147)</f>
        <v/>
      </c>
    </row>
    <row r="148" customFormat="false" ht="15" hidden="false" customHeight="false" outlineLevel="0" collapsed="false">
      <c r="A148" s="6"/>
      <c r="B148" s="7"/>
      <c r="C148" s="6"/>
      <c r="D148" s="6"/>
      <c r="E148" s="6"/>
      <c r="F148" s="8"/>
      <c r="G148" s="9"/>
      <c r="H148" s="7"/>
      <c r="I148" s="6" t="str">
        <f aca="false">IF($A148="","",IFERROR(VLOOKUP($A148,Transcodifica!$A$5:$J$400,5,FALSE()),"NON MAPPATO"))</f>
        <v/>
      </c>
      <c r="J148" s="6" t="str">
        <f aca="false">IF($A148="","",IFERROR(VLOOKUP($A148,Transcodifica!$A$5:$J$400,7,FALSE()),""))</f>
        <v/>
      </c>
      <c r="K148" s="6" t="str">
        <f aca="false">IF($A148="","",IFERROR(VLOOKUP($A148,Transcodifica!$A$5:$J$400,8,FALSE()),""))</f>
        <v/>
      </c>
      <c r="L148" s="6" t="str">
        <f aca="false">IF($A148="","",IFERROR(VLOOKUP($A148,Transcodifica!$A$5:$J$400,9,FALSE()),""))</f>
        <v/>
      </c>
      <c r="M148" s="8" t="str">
        <f aca="false">IF($A148="","",IF($E148="APPROVATO",1,IF($E148="In svolgimento",IF($F148="",0,$F148),0)))</f>
        <v/>
      </c>
      <c r="N148" s="10" t="str">
        <f aca="false">IF(OR($A148="",$I148="NON MAPPATO",$I148=""),"",$L148*$M148)</f>
        <v/>
      </c>
    </row>
    <row r="149" customFormat="false" ht="15" hidden="false" customHeight="false" outlineLevel="0" collapsed="false">
      <c r="A149" s="6"/>
      <c r="B149" s="7"/>
      <c r="C149" s="6"/>
      <c r="D149" s="6"/>
      <c r="E149" s="6"/>
      <c r="F149" s="8"/>
      <c r="G149" s="9"/>
      <c r="H149" s="7"/>
      <c r="I149" s="6" t="str">
        <f aca="false">IF($A149="","",IFERROR(VLOOKUP($A149,Transcodifica!$A$5:$J$400,5,FALSE()),"NON MAPPATO"))</f>
        <v/>
      </c>
      <c r="J149" s="6" t="str">
        <f aca="false">IF($A149="","",IFERROR(VLOOKUP($A149,Transcodifica!$A$5:$J$400,7,FALSE()),""))</f>
        <v/>
      </c>
      <c r="K149" s="6" t="str">
        <f aca="false">IF($A149="","",IFERROR(VLOOKUP($A149,Transcodifica!$A$5:$J$400,8,FALSE()),""))</f>
        <v/>
      </c>
      <c r="L149" s="6" t="str">
        <f aca="false">IF($A149="","",IFERROR(VLOOKUP($A149,Transcodifica!$A$5:$J$400,9,FALSE()),""))</f>
        <v/>
      </c>
      <c r="M149" s="8" t="str">
        <f aca="false">IF($A149="","",IF($E149="APPROVATO",1,IF($E149="In svolgimento",IF($F149="",0,$F149),0)))</f>
        <v/>
      </c>
      <c r="N149" s="10" t="str">
        <f aca="false">IF(OR($A149="",$I149="NON MAPPATO",$I149=""),"",$L149*$M149)</f>
        <v/>
      </c>
    </row>
    <row r="150" customFormat="false" ht="15" hidden="false" customHeight="false" outlineLevel="0" collapsed="false">
      <c r="A150" s="6"/>
      <c r="B150" s="7"/>
      <c r="C150" s="6"/>
      <c r="D150" s="6"/>
      <c r="E150" s="6"/>
      <c r="F150" s="8"/>
      <c r="G150" s="9"/>
      <c r="H150" s="7"/>
      <c r="I150" s="6" t="str">
        <f aca="false">IF($A150="","",IFERROR(VLOOKUP($A150,Transcodifica!$A$5:$J$400,5,FALSE()),"NON MAPPATO"))</f>
        <v/>
      </c>
      <c r="J150" s="6" t="str">
        <f aca="false">IF($A150="","",IFERROR(VLOOKUP($A150,Transcodifica!$A$5:$J$400,7,FALSE()),""))</f>
        <v/>
      </c>
      <c r="K150" s="6" t="str">
        <f aca="false">IF($A150="","",IFERROR(VLOOKUP($A150,Transcodifica!$A$5:$J$400,8,FALSE()),""))</f>
        <v/>
      </c>
      <c r="L150" s="6" t="str">
        <f aca="false">IF($A150="","",IFERROR(VLOOKUP($A150,Transcodifica!$A$5:$J$400,9,FALSE()),""))</f>
        <v/>
      </c>
      <c r="M150" s="8" t="str">
        <f aca="false">IF($A150="","",IF($E150="APPROVATO",1,IF($E150="In svolgimento",IF($F150="",0,$F150),0)))</f>
        <v/>
      </c>
      <c r="N150" s="10" t="str">
        <f aca="false">IF(OR($A150="",$I150="NON MAPPATO",$I150=""),"",$L150*$M150)</f>
        <v/>
      </c>
    </row>
    <row r="151" customFormat="false" ht="15" hidden="false" customHeight="false" outlineLevel="0" collapsed="false">
      <c r="A151" s="6"/>
      <c r="B151" s="7"/>
      <c r="C151" s="6"/>
      <c r="D151" s="6"/>
      <c r="E151" s="6"/>
      <c r="F151" s="8"/>
      <c r="G151" s="9"/>
      <c r="H151" s="7"/>
      <c r="I151" s="6" t="str">
        <f aca="false">IF($A151="","",IFERROR(VLOOKUP($A151,Transcodifica!$A$5:$J$400,5,FALSE()),"NON MAPPATO"))</f>
        <v/>
      </c>
      <c r="J151" s="6" t="str">
        <f aca="false">IF($A151="","",IFERROR(VLOOKUP($A151,Transcodifica!$A$5:$J$400,7,FALSE()),""))</f>
        <v/>
      </c>
      <c r="K151" s="6" t="str">
        <f aca="false">IF($A151="","",IFERROR(VLOOKUP($A151,Transcodifica!$A$5:$J$400,8,FALSE()),""))</f>
        <v/>
      </c>
      <c r="L151" s="6" t="str">
        <f aca="false">IF($A151="","",IFERROR(VLOOKUP($A151,Transcodifica!$A$5:$J$400,9,FALSE()),""))</f>
        <v/>
      </c>
      <c r="M151" s="8" t="str">
        <f aca="false">IF($A151="","",IF($E151="APPROVATO",1,IF($E151="In svolgimento",IF($F151="",0,$F151),0)))</f>
        <v/>
      </c>
      <c r="N151" s="10" t="str">
        <f aca="false">IF(OR($A151="",$I151="NON MAPPATO",$I151=""),"",$L151*$M151)</f>
        <v/>
      </c>
    </row>
    <row r="152" customFormat="false" ht="15" hidden="false" customHeight="false" outlineLevel="0" collapsed="false">
      <c r="A152" s="6"/>
      <c r="B152" s="7"/>
      <c r="C152" s="6"/>
      <c r="D152" s="6"/>
      <c r="E152" s="6"/>
      <c r="F152" s="8"/>
      <c r="G152" s="9"/>
      <c r="H152" s="7"/>
      <c r="I152" s="6" t="str">
        <f aca="false">IF($A152="","",IFERROR(VLOOKUP($A152,Transcodifica!$A$5:$J$400,5,FALSE()),"NON MAPPATO"))</f>
        <v/>
      </c>
      <c r="J152" s="6" t="str">
        <f aca="false">IF($A152="","",IFERROR(VLOOKUP($A152,Transcodifica!$A$5:$J$400,7,FALSE()),""))</f>
        <v/>
      </c>
      <c r="K152" s="6" t="str">
        <f aca="false">IF($A152="","",IFERROR(VLOOKUP($A152,Transcodifica!$A$5:$J$400,8,FALSE()),""))</f>
        <v/>
      </c>
      <c r="L152" s="6" t="str">
        <f aca="false">IF($A152="","",IFERROR(VLOOKUP($A152,Transcodifica!$A$5:$J$400,9,FALSE()),""))</f>
        <v/>
      </c>
      <c r="M152" s="8" t="str">
        <f aca="false">IF($A152="","",IF($E152="APPROVATO",1,IF($E152="In svolgimento",IF($F152="",0,$F152),0)))</f>
        <v/>
      </c>
      <c r="N152" s="10" t="str">
        <f aca="false">IF(OR($A152="",$I152="NON MAPPATO",$I152=""),"",$L152*$M152)</f>
        <v/>
      </c>
    </row>
    <row r="153" customFormat="false" ht="15" hidden="false" customHeight="false" outlineLevel="0" collapsed="false">
      <c r="A153" s="6"/>
      <c r="B153" s="7"/>
      <c r="C153" s="6"/>
      <c r="D153" s="6"/>
      <c r="E153" s="6"/>
      <c r="F153" s="8"/>
      <c r="G153" s="9"/>
      <c r="H153" s="7"/>
      <c r="I153" s="6" t="str">
        <f aca="false">IF($A153="","",IFERROR(VLOOKUP($A153,Transcodifica!$A$5:$J$400,5,FALSE()),"NON MAPPATO"))</f>
        <v/>
      </c>
      <c r="J153" s="6" t="str">
        <f aca="false">IF($A153="","",IFERROR(VLOOKUP($A153,Transcodifica!$A$5:$J$400,7,FALSE()),""))</f>
        <v/>
      </c>
      <c r="K153" s="6" t="str">
        <f aca="false">IF($A153="","",IFERROR(VLOOKUP($A153,Transcodifica!$A$5:$J$400,8,FALSE()),""))</f>
        <v/>
      </c>
      <c r="L153" s="6" t="str">
        <f aca="false">IF($A153="","",IFERROR(VLOOKUP($A153,Transcodifica!$A$5:$J$400,9,FALSE()),""))</f>
        <v/>
      </c>
      <c r="M153" s="8" t="str">
        <f aca="false">IF($A153="","",IF($E153="APPROVATO",1,IF($E153="In svolgimento",IF($F153="",0,$F153),0)))</f>
        <v/>
      </c>
      <c r="N153" s="10" t="str">
        <f aca="false">IF(OR($A153="",$I153="NON MAPPATO",$I153=""),"",$L153*$M153)</f>
        <v/>
      </c>
    </row>
    <row r="154" customFormat="false" ht="15" hidden="false" customHeight="false" outlineLevel="0" collapsed="false">
      <c r="A154" s="6"/>
      <c r="B154" s="7"/>
      <c r="C154" s="6"/>
      <c r="D154" s="6"/>
      <c r="E154" s="6"/>
      <c r="F154" s="8"/>
      <c r="G154" s="9"/>
      <c r="H154" s="7"/>
      <c r="I154" s="6" t="str">
        <f aca="false">IF($A154="","",IFERROR(VLOOKUP($A154,Transcodifica!$A$5:$J$400,5,FALSE()),"NON MAPPATO"))</f>
        <v/>
      </c>
      <c r="J154" s="6" t="str">
        <f aca="false">IF($A154="","",IFERROR(VLOOKUP($A154,Transcodifica!$A$5:$J$400,7,FALSE()),""))</f>
        <v/>
      </c>
      <c r="K154" s="6" t="str">
        <f aca="false">IF($A154="","",IFERROR(VLOOKUP($A154,Transcodifica!$A$5:$J$400,8,FALSE()),""))</f>
        <v/>
      </c>
      <c r="L154" s="6" t="str">
        <f aca="false">IF($A154="","",IFERROR(VLOOKUP($A154,Transcodifica!$A$5:$J$400,9,FALSE()),""))</f>
        <v/>
      </c>
      <c r="M154" s="8" t="str">
        <f aca="false">IF($A154="","",IF($E154="APPROVATO",1,IF($E154="In svolgimento",IF($F154="",0,$F154),0)))</f>
        <v/>
      </c>
      <c r="N154" s="10" t="str">
        <f aca="false">IF(OR($A154="",$I154="NON MAPPATO",$I154=""),"",$L154*$M154)</f>
        <v/>
      </c>
    </row>
    <row r="155" customFormat="false" ht="15" hidden="false" customHeight="false" outlineLevel="0" collapsed="false">
      <c r="A155" s="6"/>
      <c r="B155" s="7"/>
      <c r="C155" s="6"/>
      <c r="D155" s="6"/>
      <c r="E155" s="6"/>
      <c r="F155" s="8"/>
      <c r="G155" s="9"/>
      <c r="H155" s="7"/>
      <c r="I155" s="6" t="str">
        <f aca="false">IF($A155="","",IFERROR(VLOOKUP($A155,Transcodifica!$A$5:$J$400,5,FALSE()),"NON MAPPATO"))</f>
        <v/>
      </c>
      <c r="J155" s="6" t="str">
        <f aca="false">IF($A155="","",IFERROR(VLOOKUP($A155,Transcodifica!$A$5:$J$400,7,FALSE()),""))</f>
        <v/>
      </c>
      <c r="K155" s="6" t="str">
        <f aca="false">IF($A155="","",IFERROR(VLOOKUP($A155,Transcodifica!$A$5:$J$400,8,FALSE()),""))</f>
        <v/>
      </c>
      <c r="L155" s="6" t="str">
        <f aca="false">IF($A155="","",IFERROR(VLOOKUP($A155,Transcodifica!$A$5:$J$400,9,FALSE()),""))</f>
        <v/>
      </c>
      <c r="M155" s="8" t="str">
        <f aca="false">IF($A155="","",IF($E155="APPROVATO",1,IF($E155="In svolgimento",IF($F155="",0,$F155),0)))</f>
        <v/>
      </c>
      <c r="N155" s="10" t="str">
        <f aca="false">IF(OR($A155="",$I155="NON MAPPATO",$I155=""),"",$L155*$M155)</f>
        <v/>
      </c>
    </row>
    <row r="156" customFormat="false" ht="15" hidden="false" customHeight="false" outlineLevel="0" collapsed="false">
      <c r="A156" s="6"/>
      <c r="B156" s="7"/>
      <c r="C156" s="6"/>
      <c r="D156" s="6"/>
      <c r="E156" s="6"/>
      <c r="F156" s="8"/>
      <c r="G156" s="9"/>
      <c r="H156" s="7"/>
      <c r="I156" s="6" t="str">
        <f aca="false">IF($A156="","",IFERROR(VLOOKUP($A156,Transcodifica!$A$5:$J$400,5,FALSE()),"NON MAPPATO"))</f>
        <v/>
      </c>
      <c r="J156" s="6" t="str">
        <f aca="false">IF($A156="","",IFERROR(VLOOKUP($A156,Transcodifica!$A$5:$J$400,7,FALSE()),""))</f>
        <v/>
      </c>
      <c r="K156" s="6" t="str">
        <f aca="false">IF($A156="","",IFERROR(VLOOKUP($A156,Transcodifica!$A$5:$J$400,8,FALSE()),""))</f>
        <v/>
      </c>
      <c r="L156" s="6" t="str">
        <f aca="false">IF($A156="","",IFERROR(VLOOKUP($A156,Transcodifica!$A$5:$J$400,9,FALSE()),""))</f>
        <v/>
      </c>
      <c r="M156" s="8" t="str">
        <f aca="false">IF($A156="","",IF($E156="APPROVATO",1,IF($E156="In svolgimento",IF($F156="",0,$F156),0)))</f>
        <v/>
      </c>
      <c r="N156" s="10" t="str">
        <f aca="false">IF(OR($A156="",$I156="NON MAPPATO",$I156=""),"",$L156*$M156)</f>
        <v/>
      </c>
    </row>
    <row r="157" customFormat="false" ht="15" hidden="false" customHeight="false" outlineLevel="0" collapsed="false">
      <c r="A157" s="6"/>
      <c r="B157" s="7"/>
      <c r="C157" s="6"/>
      <c r="D157" s="6"/>
      <c r="E157" s="6"/>
      <c r="F157" s="8"/>
      <c r="G157" s="9"/>
      <c r="H157" s="7"/>
      <c r="I157" s="6" t="str">
        <f aca="false">IF($A157="","",IFERROR(VLOOKUP($A157,Transcodifica!$A$5:$J$400,5,FALSE()),"NON MAPPATO"))</f>
        <v/>
      </c>
      <c r="J157" s="6" t="str">
        <f aca="false">IF($A157="","",IFERROR(VLOOKUP($A157,Transcodifica!$A$5:$J$400,7,FALSE()),""))</f>
        <v/>
      </c>
      <c r="K157" s="6" t="str">
        <f aca="false">IF($A157="","",IFERROR(VLOOKUP($A157,Transcodifica!$A$5:$J$400,8,FALSE()),""))</f>
        <v/>
      </c>
      <c r="L157" s="6" t="str">
        <f aca="false">IF($A157="","",IFERROR(VLOOKUP($A157,Transcodifica!$A$5:$J$400,9,FALSE()),""))</f>
        <v/>
      </c>
      <c r="M157" s="8" t="str">
        <f aca="false">IF($A157="","",IF($E157="APPROVATO",1,IF($E157="In svolgimento",IF($F157="",0,$F157),0)))</f>
        <v/>
      </c>
      <c r="N157" s="10" t="str">
        <f aca="false">IF(OR($A157="",$I157="NON MAPPATO",$I157=""),"",$L157*$M157)</f>
        <v/>
      </c>
    </row>
    <row r="158" customFormat="false" ht="15" hidden="false" customHeight="false" outlineLevel="0" collapsed="false">
      <c r="A158" s="6"/>
      <c r="B158" s="7"/>
      <c r="C158" s="6"/>
      <c r="D158" s="6"/>
      <c r="E158" s="6"/>
      <c r="F158" s="8"/>
      <c r="G158" s="9"/>
      <c r="H158" s="7"/>
      <c r="I158" s="6" t="str">
        <f aca="false">IF($A158="","",IFERROR(VLOOKUP($A158,Transcodifica!$A$5:$J$400,5,FALSE()),"NON MAPPATO"))</f>
        <v/>
      </c>
      <c r="J158" s="6" t="str">
        <f aca="false">IF($A158="","",IFERROR(VLOOKUP($A158,Transcodifica!$A$5:$J$400,7,FALSE()),""))</f>
        <v/>
      </c>
      <c r="K158" s="6" t="str">
        <f aca="false">IF($A158="","",IFERROR(VLOOKUP($A158,Transcodifica!$A$5:$J$400,8,FALSE()),""))</f>
        <v/>
      </c>
      <c r="L158" s="6" t="str">
        <f aca="false">IF($A158="","",IFERROR(VLOOKUP($A158,Transcodifica!$A$5:$J$400,9,FALSE()),""))</f>
        <v/>
      </c>
      <c r="M158" s="8" t="str">
        <f aca="false">IF($A158="","",IF($E158="APPROVATO",1,IF($E158="In svolgimento",IF($F158="",0,$F158),0)))</f>
        <v/>
      </c>
      <c r="N158" s="10" t="str">
        <f aca="false">IF(OR($A158="",$I158="NON MAPPATO",$I158=""),"",$L158*$M158)</f>
        <v/>
      </c>
    </row>
    <row r="159" customFormat="false" ht="15" hidden="false" customHeight="false" outlineLevel="0" collapsed="false">
      <c r="A159" s="6"/>
      <c r="B159" s="7"/>
      <c r="C159" s="6"/>
      <c r="D159" s="6"/>
      <c r="E159" s="6"/>
      <c r="F159" s="8"/>
      <c r="G159" s="9"/>
      <c r="H159" s="7"/>
      <c r="I159" s="6" t="str">
        <f aca="false">IF($A159="","",IFERROR(VLOOKUP($A159,Transcodifica!$A$5:$J$400,5,FALSE()),"NON MAPPATO"))</f>
        <v/>
      </c>
      <c r="J159" s="6" t="str">
        <f aca="false">IF($A159="","",IFERROR(VLOOKUP($A159,Transcodifica!$A$5:$J$400,7,FALSE()),""))</f>
        <v/>
      </c>
      <c r="K159" s="6" t="str">
        <f aca="false">IF($A159="","",IFERROR(VLOOKUP($A159,Transcodifica!$A$5:$J$400,8,FALSE()),""))</f>
        <v/>
      </c>
      <c r="L159" s="6" t="str">
        <f aca="false">IF($A159="","",IFERROR(VLOOKUP($A159,Transcodifica!$A$5:$J$400,9,FALSE()),""))</f>
        <v/>
      </c>
      <c r="M159" s="8" t="str">
        <f aca="false">IF($A159="","",IF($E159="APPROVATO",1,IF($E159="In svolgimento",IF($F159="",0,$F159),0)))</f>
        <v/>
      </c>
      <c r="N159" s="10" t="str">
        <f aca="false">IF(OR($A159="",$I159="NON MAPPATO",$I159=""),"",$L159*$M159)</f>
        <v/>
      </c>
    </row>
    <row r="160" customFormat="false" ht="15" hidden="false" customHeight="false" outlineLevel="0" collapsed="false">
      <c r="A160" s="6"/>
      <c r="B160" s="7"/>
      <c r="C160" s="6"/>
      <c r="D160" s="6"/>
      <c r="E160" s="6"/>
      <c r="F160" s="8"/>
      <c r="G160" s="9"/>
      <c r="H160" s="7"/>
      <c r="I160" s="6" t="str">
        <f aca="false">IF($A160="","",IFERROR(VLOOKUP($A160,Transcodifica!$A$5:$J$400,5,FALSE()),"NON MAPPATO"))</f>
        <v/>
      </c>
      <c r="J160" s="6" t="str">
        <f aca="false">IF($A160="","",IFERROR(VLOOKUP($A160,Transcodifica!$A$5:$J$400,7,FALSE()),""))</f>
        <v/>
      </c>
      <c r="K160" s="6" t="str">
        <f aca="false">IF($A160="","",IFERROR(VLOOKUP($A160,Transcodifica!$A$5:$J$400,8,FALSE()),""))</f>
        <v/>
      </c>
      <c r="L160" s="6" t="str">
        <f aca="false">IF($A160="","",IFERROR(VLOOKUP($A160,Transcodifica!$A$5:$J$400,9,FALSE()),""))</f>
        <v/>
      </c>
      <c r="M160" s="8" t="str">
        <f aca="false">IF($A160="","",IF($E160="APPROVATO",1,IF($E160="In svolgimento",IF($F160="",0,$F160),0)))</f>
        <v/>
      </c>
      <c r="N160" s="10" t="str">
        <f aca="false">IF(OR($A160="",$I160="NON MAPPATO",$I160=""),"",$L160*$M160)</f>
        <v/>
      </c>
    </row>
    <row r="161" customFormat="false" ht="15" hidden="false" customHeight="false" outlineLevel="0" collapsed="false">
      <c r="A161" s="6"/>
      <c r="B161" s="7"/>
      <c r="C161" s="6"/>
      <c r="D161" s="6"/>
      <c r="E161" s="6"/>
      <c r="F161" s="8"/>
      <c r="G161" s="9"/>
      <c r="H161" s="7"/>
      <c r="I161" s="6" t="str">
        <f aca="false">IF($A161="","",IFERROR(VLOOKUP($A161,Transcodifica!$A$5:$J$400,5,FALSE()),"NON MAPPATO"))</f>
        <v/>
      </c>
      <c r="J161" s="6" t="str">
        <f aca="false">IF($A161="","",IFERROR(VLOOKUP($A161,Transcodifica!$A$5:$J$400,7,FALSE()),""))</f>
        <v/>
      </c>
      <c r="K161" s="6" t="str">
        <f aca="false">IF($A161="","",IFERROR(VLOOKUP($A161,Transcodifica!$A$5:$J$400,8,FALSE()),""))</f>
        <v/>
      </c>
      <c r="L161" s="6" t="str">
        <f aca="false">IF($A161="","",IFERROR(VLOOKUP($A161,Transcodifica!$A$5:$J$400,9,FALSE()),""))</f>
        <v/>
      </c>
      <c r="M161" s="8" t="str">
        <f aca="false">IF($A161="","",IF($E161="APPROVATO",1,IF($E161="In svolgimento",IF($F161="",0,$F161),0)))</f>
        <v/>
      </c>
      <c r="N161" s="10" t="str">
        <f aca="false">IF(OR($A161="",$I161="NON MAPPATO",$I161=""),"",$L161*$M161)</f>
        <v/>
      </c>
    </row>
    <row r="162" customFormat="false" ht="15" hidden="false" customHeight="false" outlineLevel="0" collapsed="false">
      <c r="A162" s="6"/>
      <c r="B162" s="7"/>
      <c r="C162" s="6"/>
      <c r="D162" s="6"/>
      <c r="E162" s="6"/>
      <c r="F162" s="8"/>
      <c r="G162" s="9"/>
      <c r="H162" s="7"/>
      <c r="I162" s="6" t="str">
        <f aca="false">IF($A162="","",IFERROR(VLOOKUP($A162,Transcodifica!$A$5:$J$400,5,FALSE()),"NON MAPPATO"))</f>
        <v/>
      </c>
      <c r="J162" s="6" t="str">
        <f aca="false">IF($A162="","",IFERROR(VLOOKUP($A162,Transcodifica!$A$5:$J$400,7,FALSE()),""))</f>
        <v/>
      </c>
      <c r="K162" s="6" t="str">
        <f aca="false">IF($A162="","",IFERROR(VLOOKUP($A162,Transcodifica!$A$5:$J$400,8,FALSE()),""))</f>
        <v/>
      </c>
      <c r="L162" s="6" t="str">
        <f aca="false">IF($A162="","",IFERROR(VLOOKUP($A162,Transcodifica!$A$5:$J$400,9,FALSE()),""))</f>
        <v/>
      </c>
      <c r="M162" s="8" t="str">
        <f aca="false">IF($A162="","",IF($E162="APPROVATO",1,IF($E162="In svolgimento",IF($F162="",0,$F162),0)))</f>
        <v/>
      </c>
      <c r="N162" s="10" t="str">
        <f aca="false">IF(OR($A162="",$I162="NON MAPPATO",$I162=""),"",$L162*$M162)</f>
        <v/>
      </c>
    </row>
    <row r="163" customFormat="false" ht="15" hidden="false" customHeight="false" outlineLevel="0" collapsed="false">
      <c r="A163" s="6"/>
      <c r="B163" s="7"/>
      <c r="C163" s="6"/>
      <c r="D163" s="6"/>
      <c r="E163" s="6"/>
      <c r="F163" s="8"/>
      <c r="G163" s="9"/>
      <c r="H163" s="7"/>
      <c r="I163" s="6" t="str">
        <f aca="false">IF($A163="","",IFERROR(VLOOKUP($A163,Transcodifica!$A$5:$J$400,5,FALSE()),"NON MAPPATO"))</f>
        <v/>
      </c>
      <c r="J163" s="6" t="str">
        <f aca="false">IF($A163="","",IFERROR(VLOOKUP($A163,Transcodifica!$A$5:$J$400,7,FALSE()),""))</f>
        <v/>
      </c>
      <c r="K163" s="6" t="str">
        <f aca="false">IF($A163="","",IFERROR(VLOOKUP($A163,Transcodifica!$A$5:$J$400,8,FALSE()),""))</f>
        <v/>
      </c>
      <c r="L163" s="6" t="str">
        <f aca="false">IF($A163="","",IFERROR(VLOOKUP($A163,Transcodifica!$A$5:$J$400,9,FALSE()),""))</f>
        <v/>
      </c>
      <c r="M163" s="8" t="str">
        <f aca="false">IF($A163="","",IF($E163="APPROVATO",1,IF($E163="In svolgimento",IF($F163="",0,$F163),0)))</f>
        <v/>
      </c>
      <c r="N163" s="10" t="str">
        <f aca="false">IF(OR($A163="",$I163="NON MAPPATO",$I163=""),"",$L163*$M163)</f>
        <v/>
      </c>
    </row>
    <row r="164" customFormat="false" ht="15" hidden="false" customHeight="false" outlineLevel="0" collapsed="false">
      <c r="A164" s="6"/>
      <c r="B164" s="7"/>
      <c r="C164" s="6"/>
      <c r="D164" s="6"/>
      <c r="E164" s="6"/>
      <c r="F164" s="8"/>
      <c r="G164" s="9"/>
      <c r="H164" s="7"/>
      <c r="I164" s="6" t="str">
        <f aca="false">IF($A164="","",IFERROR(VLOOKUP($A164,Transcodifica!$A$5:$J$400,5,FALSE()),"NON MAPPATO"))</f>
        <v/>
      </c>
      <c r="J164" s="6" t="str">
        <f aca="false">IF($A164="","",IFERROR(VLOOKUP($A164,Transcodifica!$A$5:$J$400,7,FALSE()),""))</f>
        <v/>
      </c>
      <c r="K164" s="6" t="str">
        <f aca="false">IF($A164="","",IFERROR(VLOOKUP($A164,Transcodifica!$A$5:$J$400,8,FALSE()),""))</f>
        <v/>
      </c>
      <c r="L164" s="6" t="str">
        <f aca="false">IF($A164="","",IFERROR(VLOOKUP($A164,Transcodifica!$A$5:$J$400,9,FALSE()),""))</f>
        <v/>
      </c>
      <c r="M164" s="8" t="str">
        <f aca="false">IF($A164="","",IF($E164="APPROVATO",1,IF($E164="In svolgimento",IF($F164="",0,$F164),0)))</f>
        <v/>
      </c>
      <c r="N164" s="10" t="str">
        <f aca="false">IF(OR($A164="",$I164="NON MAPPATO",$I164=""),"",$L164*$M164)</f>
        <v/>
      </c>
    </row>
    <row r="165" customFormat="false" ht="15" hidden="false" customHeight="false" outlineLevel="0" collapsed="false">
      <c r="A165" s="6"/>
      <c r="B165" s="7"/>
      <c r="C165" s="6"/>
      <c r="D165" s="6"/>
      <c r="E165" s="6"/>
      <c r="F165" s="8"/>
      <c r="G165" s="9"/>
      <c r="H165" s="7"/>
      <c r="I165" s="6" t="str">
        <f aca="false">IF($A165="","",IFERROR(VLOOKUP($A165,Transcodifica!$A$5:$J$400,5,FALSE()),"NON MAPPATO"))</f>
        <v/>
      </c>
      <c r="J165" s="6" t="str">
        <f aca="false">IF($A165="","",IFERROR(VLOOKUP($A165,Transcodifica!$A$5:$J$400,7,FALSE()),""))</f>
        <v/>
      </c>
      <c r="K165" s="6" t="str">
        <f aca="false">IF($A165="","",IFERROR(VLOOKUP($A165,Transcodifica!$A$5:$J$400,8,FALSE()),""))</f>
        <v/>
      </c>
      <c r="L165" s="6" t="str">
        <f aca="false">IF($A165="","",IFERROR(VLOOKUP($A165,Transcodifica!$A$5:$J$400,9,FALSE()),""))</f>
        <v/>
      </c>
      <c r="M165" s="8" t="str">
        <f aca="false">IF($A165="","",IF($E165="APPROVATO",1,IF($E165="In svolgimento",IF($F165="",0,$F165),0)))</f>
        <v/>
      </c>
      <c r="N165" s="10" t="str">
        <f aca="false">IF(OR($A165="",$I165="NON MAPPATO",$I165=""),"",$L165*$M165)</f>
        <v/>
      </c>
    </row>
    <row r="166" customFormat="false" ht="15" hidden="false" customHeight="false" outlineLevel="0" collapsed="false">
      <c r="A166" s="6"/>
      <c r="B166" s="7"/>
      <c r="C166" s="6"/>
      <c r="D166" s="6"/>
      <c r="E166" s="6"/>
      <c r="F166" s="8"/>
      <c r="G166" s="9"/>
      <c r="H166" s="7"/>
      <c r="I166" s="6" t="str">
        <f aca="false">IF($A166="","",IFERROR(VLOOKUP($A166,Transcodifica!$A$5:$J$400,5,FALSE()),"NON MAPPATO"))</f>
        <v/>
      </c>
      <c r="J166" s="6" t="str">
        <f aca="false">IF($A166="","",IFERROR(VLOOKUP($A166,Transcodifica!$A$5:$J$400,7,FALSE()),""))</f>
        <v/>
      </c>
      <c r="K166" s="6" t="str">
        <f aca="false">IF($A166="","",IFERROR(VLOOKUP($A166,Transcodifica!$A$5:$J$400,8,FALSE()),""))</f>
        <v/>
      </c>
      <c r="L166" s="6" t="str">
        <f aca="false">IF($A166="","",IFERROR(VLOOKUP($A166,Transcodifica!$A$5:$J$400,9,FALSE()),""))</f>
        <v/>
      </c>
      <c r="M166" s="8" t="str">
        <f aca="false">IF($A166="","",IF($E166="APPROVATO",1,IF($E166="In svolgimento",IF($F166="",0,$F166),0)))</f>
        <v/>
      </c>
      <c r="N166" s="10" t="str">
        <f aca="false">IF(OR($A166="",$I166="NON MAPPATO",$I166=""),"",$L166*$M166)</f>
        <v/>
      </c>
    </row>
    <row r="167" customFormat="false" ht="15" hidden="false" customHeight="false" outlineLevel="0" collapsed="false">
      <c r="A167" s="6"/>
      <c r="B167" s="7"/>
      <c r="C167" s="6"/>
      <c r="D167" s="6"/>
      <c r="E167" s="6"/>
      <c r="F167" s="8"/>
      <c r="G167" s="9"/>
      <c r="H167" s="7"/>
      <c r="I167" s="6" t="str">
        <f aca="false">IF($A167="","",IFERROR(VLOOKUP($A167,Transcodifica!$A$5:$J$400,5,FALSE()),"NON MAPPATO"))</f>
        <v/>
      </c>
      <c r="J167" s="6" t="str">
        <f aca="false">IF($A167="","",IFERROR(VLOOKUP($A167,Transcodifica!$A$5:$J$400,7,FALSE()),""))</f>
        <v/>
      </c>
      <c r="K167" s="6" t="str">
        <f aca="false">IF($A167="","",IFERROR(VLOOKUP($A167,Transcodifica!$A$5:$J$400,8,FALSE()),""))</f>
        <v/>
      </c>
      <c r="L167" s="6" t="str">
        <f aca="false">IF($A167="","",IFERROR(VLOOKUP($A167,Transcodifica!$A$5:$J$400,9,FALSE()),""))</f>
        <v/>
      </c>
      <c r="M167" s="8" t="str">
        <f aca="false">IF($A167="","",IF($E167="APPROVATO",1,IF($E167="In svolgimento",IF($F167="",0,$F167),0)))</f>
        <v/>
      </c>
      <c r="N167" s="10" t="str">
        <f aca="false">IF(OR($A167="",$I167="NON MAPPATO",$I167=""),"",$L167*$M167)</f>
        <v/>
      </c>
    </row>
    <row r="168" customFormat="false" ht="15" hidden="false" customHeight="false" outlineLevel="0" collapsed="false">
      <c r="A168" s="6"/>
      <c r="B168" s="7"/>
      <c r="C168" s="6"/>
      <c r="D168" s="6"/>
      <c r="E168" s="6"/>
      <c r="F168" s="8"/>
      <c r="G168" s="9"/>
      <c r="H168" s="7"/>
      <c r="I168" s="6" t="str">
        <f aca="false">IF($A168="","",IFERROR(VLOOKUP($A168,Transcodifica!$A$5:$J$400,5,FALSE()),"NON MAPPATO"))</f>
        <v/>
      </c>
      <c r="J168" s="6" t="str">
        <f aca="false">IF($A168="","",IFERROR(VLOOKUP($A168,Transcodifica!$A$5:$J$400,7,FALSE()),""))</f>
        <v/>
      </c>
      <c r="K168" s="6" t="str">
        <f aca="false">IF($A168="","",IFERROR(VLOOKUP($A168,Transcodifica!$A$5:$J$400,8,FALSE()),""))</f>
        <v/>
      </c>
      <c r="L168" s="6" t="str">
        <f aca="false">IF($A168="","",IFERROR(VLOOKUP($A168,Transcodifica!$A$5:$J$400,9,FALSE()),""))</f>
        <v/>
      </c>
      <c r="M168" s="8" t="str">
        <f aca="false">IF($A168="","",IF($E168="APPROVATO",1,IF($E168="In svolgimento",IF($F168="",0,$F168),0)))</f>
        <v/>
      </c>
      <c r="N168" s="10" t="str">
        <f aca="false">IF(OR($A168="",$I168="NON MAPPATO",$I168=""),"",$L168*$M168)</f>
        <v/>
      </c>
    </row>
    <row r="169" customFormat="false" ht="15" hidden="false" customHeight="false" outlineLevel="0" collapsed="false">
      <c r="A169" s="6"/>
      <c r="B169" s="7"/>
      <c r="C169" s="6"/>
      <c r="D169" s="6"/>
      <c r="E169" s="6"/>
      <c r="F169" s="8"/>
      <c r="G169" s="9"/>
      <c r="H169" s="7"/>
      <c r="I169" s="6" t="str">
        <f aca="false">IF($A169="","",IFERROR(VLOOKUP($A169,Transcodifica!$A$5:$J$400,5,FALSE()),"NON MAPPATO"))</f>
        <v/>
      </c>
      <c r="J169" s="6" t="str">
        <f aca="false">IF($A169="","",IFERROR(VLOOKUP($A169,Transcodifica!$A$5:$J$400,7,FALSE()),""))</f>
        <v/>
      </c>
      <c r="K169" s="6" t="str">
        <f aca="false">IF($A169="","",IFERROR(VLOOKUP($A169,Transcodifica!$A$5:$J$400,8,FALSE()),""))</f>
        <v/>
      </c>
      <c r="L169" s="6" t="str">
        <f aca="false">IF($A169="","",IFERROR(VLOOKUP($A169,Transcodifica!$A$5:$J$400,9,FALSE()),""))</f>
        <v/>
      </c>
      <c r="M169" s="8" t="str">
        <f aca="false">IF($A169="","",IF($E169="APPROVATO",1,IF($E169="In svolgimento",IF($F169="",0,$F169),0)))</f>
        <v/>
      </c>
      <c r="N169" s="10" t="str">
        <f aca="false">IF(OR($A169="",$I169="NON MAPPATO",$I169=""),"",$L169*$M169)</f>
        <v/>
      </c>
    </row>
    <row r="170" customFormat="false" ht="15" hidden="false" customHeight="false" outlineLevel="0" collapsed="false">
      <c r="A170" s="6"/>
      <c r="B170" s="7"/>
      <c r="C170" s="6"/>
      <c r="D170" s="6"/>
      <c r="E170" s="6"/>
      <c r="F170" s="8"/>
      <c r="G170" s="9"/>
      <c r="H170" s="7"/>
      <c r="I170" s="6" t="str">
        <f aca="false">IF($A170="","",IFERROR(VLOOKUP($A170,Transcodifica!$A$5:$J$400,5,FALSE()),"NON MAPPATO"))</f>
        <v/>
      </c>
      <c r="J170" s="6" t="str">
        <f aca="false">IF($A170="","",IFERROR(VLOOKUP($A170,Transcodifica!$A$5:$J$400,7,FALSE()),""))</f>
        <v/>
      </c>
      <c r="K170" s="6" t="str">
        <f aca="false">IF($A170="","",IFERROR(VLOOKUP($A170,Transcodifica!$A$5:$J$400,8,FALSE()),""))</f>
        <v/>
      </c>
      <c r="L170" s="6" t="str">
        <f aca="false">IF($A170="","",IFERROR(VLOOKUP($A170,Transcodifica!$A$5:$J$400,9,FALSE()),""))</f>
        <v/>
      </c>
      <c r="M170" s="8" t="str">
        <f aca="false">IF($A170="","",IF($E170="APPROVATO",1,IF($E170="In svolgimento",IF($F170="",0,$F170),0)))</f>
        <v/>
      </c>
      <c r="N170" s="10" t="str">
        <f aca="false">IF(OR($A170="",$I170="NON MAPPATO",$I170=""),"",$L170*$M170)</f>
        <v/>
      </c>
    </row>
    <row r="171" customFormat="false" ht="15" hidden="false" customHeight="false" outlineLevel="0" collapsed="false">
      <c r="A171" s="6"/>
      <c r="B171" s="7"/>
      <c r="C171" s="6"/>
      <c r="D171" s="6"/>
      <c r="E171" s="6"/>
      <c r="F171" s="8"/>
      <c r="G171" s="9"/>
      <c r="H171" s="7"/>
      <c r="I171" s="6" t="str">
        <f aca="false">IF($A171="","",IFERROR(VLOOKUP($A171,Transcodifica!$A$5:$J$400,5,FALSE()),"NON MAPPATO"))</f>
        <v/>
      </c>
      <c r="J171" s="6" t="str">
        <f aca="false">IF($A171="","",IFERROR(VLOOKUP($A171,Transcodifica!$A$5:$J$400,7,FALSE()),""))</f>
        <v/>
      </c>
      <c r="K171" s="6" t="str">
        <f aca="false">IF($A171="","",IFERROR(VLOOKUP($A171,Transcodifica!$A$5:$J$400,8,FALSE()),""))</f>
        <v/>
      </c>
      <c r="L171" s="6" t="str">
        <f aca="false">IF($A171="","",IFERROR(VLOOKUP($A171,Transcodifica!$A$5:$J$400,9,FALSE()),""))</f>
        <v/>
      </c>
      <c r="M171" s="8" t="str">
        <f aca="false">IF($A171="","",IF($E171="APPROVATO",1,IF($E171="In svolgimento",IF($F171="",0,$F171),0)))</f>
        <v/>
      </c>
      <c r="N171" s="10" t="str">
        <f aca="false">IF(OR($A171="",$I171="NON MAPPATO",$I171=""),"",$L171*$M171)</f>
        <v/>
      </c>
    </row>
    <row r="172" customFormat="false" ht="15" hidden="false" customHeight="false" outlineLevel="0" collapsed="false">
      <c r="A172" s="6"/>
      <c r="B172" s="7"/>
      <c r="C172" s="6"/>
      <c r="D172" s="6"/>
      <c r="E172" s="6"/>
      <c r="F172" s="8"/>
      <c r="G172" s="9"/>
      <c r="H172" s="7"/>
      <c r="I172" s="6" t="str">
        <f aca="false">IF($A172="","",IFERROR(VLOOKUP($A172,Transcodifica!$A$5:$J$400,5,FALSE()),"NON MAPPATO"))</f>
        <v/>
      </c>
      <c r="J172" s="6" t="str">
        <f aca="false">IF($A172="","",IFERROR(VLOOKUP($A172,Transcodifica!$A$5:$J$400,7,FALSE()),""))</f>
        <v/>
      </c>
      <c r="K172" s="6" t="str">
        <f aca="false">IF($A172="","",IFERROR(VLOOKUP($A172,Transcodifica!$A$5:$J$400,8,FALSE()),""))</f>
        <v/>
      </c>
      <c r="L172" s="6" t="str">
        <f aca="false">IF($A172="","",IFERROR(VLOOKUP($A172,Transcodifica!$A$5:$J$400,9,FALSE()),""))</f>
        <v/>
      </c>
      <c r="M172" s="8" t="str">
        <f aca="false">IF($A172="","",IF($E172="APPROVATO",1,IF($E172="In svolgimento",IF($F172="",0,$F172),0)))</f>
        <v/>
      </c>
      <c r="N172" s="10" t="str">
        <f aca="false">IF(OR($A172="",$I172="NON MAPPATO",$I172=""),"",$L172*$M172)</f>
        <v/>
      </c>
    </row>
    <row r="173" customFormat="false" ht="15" hidden="false" customHeight="false" outlineLevel="0" collapsed="false">
      <c r="A173" s="6"/>
      <c r="B173" s="7"/>
      <c r="C173" s="6"/>
      <c r="D173" s="6"/>
      <c r="E173" s="6"/>
      <c r="F173" s="8"/>
      <c r="G173" s="9"/>
      <c r="H173" s="7"/>
      <c r="I173" s="6" t="str">
        <f aca="false">IF($A173="","",IFERROR(VLOOKUP($A173,Transcodifica!$A$5:$J$400,5,FALSE()),"NON MAPPATO"))</f>
        <v/>
      </c>
      <c r="J173" s="6" t="str">
        <f aca="false">IF($A173="","",IFERROR(VLOOKUP($A173,Transcodifica!$A$5:$J$400,7,FALSE()),""))</f>
        <v/>
      </c>
      <c r="K173" s="6" t="str">
        <f aca="false">IF($A173="","",IFERROR(VLOOKUP($A173,Transcodifica!$A$5:$J$400,8,FALSE()),""))</f>
        <v/>
      </c>
      <c r="L173" s="6" t="str">
        <f aca="false">IF($A173="","",IFERROR(VLOOKUP($A173,Transcodifica!$A$5:$J$400,9,FALSE()),""))</f>
        <v/>
      </c>
      <c r="M173" s="8" t="str">
        <f aca="false">IF($A173="","",IF($E173="APPROVATO",1,IF($E173="In svolgimento",IF($F173="",0,$F173),0)))</f>
        <v/>
      </c>
      <c r="N173" s="10" t="str">
        <f aca="false">IF(OR($A173="",$I173="NON MAPPATO",$I173=""),"",$L173*$M173)</f>
        <v/>
      </c>
    </row>
    <row r="174" customFormat="false" ht="15" hidden="false" customHeight="false" outlineLevel="0" collapsed="false">
      <c r="A174" s="6"/>
      <c r="B174" s="7"/>
      <c r="C174" s="6"/>
      <c r="D174" s="6"/>
      <c r="E174" s="6"/>
      <c r="F174" s="8"/>
      <c r="G174" s="9"/>
      <c r="H174" s="7"/>
      <c r="I174" s="6" t="str">
        <f aca="false">IF($A174="","",IFERROR(VLOOKUP($A174,Transcodifica!$A$5:$J$400,5,FALSE()),"NON MAPPATO"))</f>
        <v/>
      </c>
      <c r="J174" s="6" t="str">
        <f aca="false">IF($A174="","",IFERROR(VLOOKUP($A174,Transcodifica!$A$5:$J$400,7,FALSE()),""))</f>
        <v/>
      </c>
      <c r="K174" s="6" t="str">
        <f aca="false">IF($A174="","",IFERROR(VLOOKUP($A174,Transcodifica!$A$5:$J$400,8,FALSE()),""))</f>
        <v/>
      </c>
      <c r="L174" s="6" t="str">
        <f aca="false">IF($A174="","",IFERROR(VLOOKUP($A174,Transcodifica!$A$5:$J$400,9,FALSE()),""))</f>
        <v/>
      </c>
      <c r="M174" s="8" t="str">
        <f aca="false">IF($A174="","",IF($E174="APPROVATO",1,IF($E174="In svolgimento",IF($F174="",0,$F174),0)))</f>
        <v/>
      </c>
      <c r="N174" s="10" t="str">
        <f aca="false">IF(OR($A174="",$I174="NON MAPPATO",$I174=""),"",$L174*$M174)</f>
        <v/>
      </c>
    </row>
    <row r="175" customFormat="false" ht="15" hidden="false" customHeight="false" outlineLevel="0" collapsed="false">
      <c r="A175" s="6"/>
      <c r="B175" s="7"/>
      <c r="C175" s="6"/>
      <c r="D175" s="6"/>
      <c r="E175" s="6"/>
      <c r="F175" s="8"/>
      <c r="G175" s="9"/>
      <c r="H175" s="7"/>
      <c r="I175" s="6" t="str">
        <f aca="false">IF($A175="","",IFERROR(VLOOKUP($A175,Transcodifica!$A$5:$J$400,5,FALSE()),"NON MAPPATO"))</f>
        <v/>
      </c>
      <c r="J175" s="6" t="str">
        <f aca="false">IF($A175="","",IFERROR(VLOOKUP($A175,Transcodifica!$A$5:$J$400,7,FALSE()),""))</f>
        <v/>
      </c>
      <c r="K175" s="6" t="str">
        <f aca="false">IF($A175="","",IFERROR(VLOOKUP($A175,Transcodifica!$A$5:$J$400,8,FALSE()),""))</f>
        <v/>
      </c>
      <c r="L175" s="6" t="str">
        <f aca="false">IF($A175="","",IFERROR(VLOOKUP($A175,Transcodifica!$A$5:$J$400,9,FALSE()),""))</f>
        <v/>
      </c>
      <c r="M175" s="8" t="str">
        <f aca="false">IF($A175="","",IF($E175="APPROVATO",1,IF($E175="In svolgimento",IF($F175="",0,$F175),0)))</f>
        <v/>
      </c>
      <c r="N175" s="10" t="str">
        <f aca="false">IF(OR($A175="",$I175="NON MAPPATO",$I175=""),"",$L175*$M175)</f>
        <v/>
      </c>
    </row>
    <row r="176" customFormat="false" ht="15" hidden="false" customHeight="false" outlineLevel="0" collapsed="false">
      <c r="A176" s="6"/>
      <c r="B176" s="7"/>
      <c r="C176" s="6"/>
      <c r="D176" s="6"/>
      <c r="E176" s="6"/>
      <c r="F176" s="8"/>
      <c r="G176" s="9"/>
      <c r="H176" s="7"/>
      <c r="I176" s="6" t="str">
        <f aca="false">IF($A176="","",IFERROR(VLOOKUP($A176,Transcodifica!$A$5:$J$400,5,FALSE()),"NON MAPPATO"))</f>
        <v/>
      </c>
      <c r="J176" s="6" t="str">
        <f aca="false">IF($A176="","",IFERROR(VLOOKUP($A176,Transcodifica!$A$5:$J$400,7,FALSE()),""))</f>
        <v/>
      </c>
      <c r="K176" s="6" t="str">
        <f aca="false">IF($A176="","",IFERROR(VLOOKUP($A176,Transcodifica!$A$5:$J$400,8,FALSE()),""))</f>
        <v/>
      </c>
      <c r="L176" s="6" t="str">
        <f aca="false">IF($A176="","",IFERROR(VLOOKUP($A176,Transcodifica!$A$5:$J$400,9,FALSE()),""))</f>
        <v/>
      </c>
      <c r="M176" s="8" t="str">
        <f aca="false">IF($A176="","",IF($E176="APPROVATO",1,IF($E176="In svolgimento",IF($F176="",0,$F176),0)))</f>
        <v/>
      </c>
      <c r="N176" s="10" t="str">
        <f aca="false">IF(OR($A176="",$I176="NON MAPPATO",$I176=""),"",$L176*$M176)</f>
        <v/>
      </c>
    </row>
    <row r="177" customFormat="false" ht="15" hidden="false" customHeight="false" outlineLevel="0" collapsed="false">
      <c r="A177" s="6"/>
      <c r="B177" s="7"/>
      <c r="C177" s="6"/>
      <c r="D177" s="6"/>
      <c r="E177" s="6"/>
      <c r="F177" s="8"/>
      <c r="G177" s="9"/>
      <c r="H177" s="7"/>
      <c r="I177" s="6" t="str">
        <f aca="false">IF($A177="","",IFERROR(VLOOKUP($A177,Transcodifica!$A$5:$J$400,5,FALSE()),"NON MAPPATO"))</f>
        <v/>
      </c>
      <c r="J177" s="6" t="str">
        <f aca="false">IF($A177="","",IFERROR(VLOOKUP($A177,Transcodifica!$A$5:$J$400,7,FALSE()),""))</f>
        <v/>
      </c>
      <c r="K177" s="6" t="str">
        <f aca="false">IF($A177="","",IFERROR(VLOOKUP($A177,Transcodifica!$A$5:$J$400,8,FALSE()),""))</f>
        <v/>
      </c>
      <c r="L177" s="6" t="str">
        <f aca="false">IF($A177="","",IFERROR(VLOOKUP($A177,Transcodifica!$A$5:$J$400,9,FALSE()),""))</f>
        <v/>
      </c>
      <c r="M177" s="8" t="str">
        <f aca="false">IF($A177="","",IF($E177="APPROVATO",1,IF($E177="In svolgimento",IF($F177="",0,$F177),0)))</f>
        <v/>
      </c>
      <c r="N177" s="10" t="str">
        <f aca="false">IF(OR($A177="",$I177="NON MAPPATO",$I177=""),"",$L177*$M177)</f>
        <v/>
      </c>
    </row>
    <row r="178" customFormat="false" ht="15" hidden="false" customHeight="false" outlineLevel="0" collapsed="false">
      <c r="A178" s="6"/>
      <c r="B178" s="7"/>
      <c r="C178" s="6"/>
      <c r="D178" s="6"/>
      <c r="E178" s="6"/>
      <c r="F178" s="8"/>
      <c r="G178" s="9"/>
      <c r="H178" s="7"/>
      <c r="I178" s="6" t="str">
        <f aca="false">IF($A178="","",IFERROR(VLOOKUP($A178,Transcodifica!$A$5:$J$400,5,FALSE()),"NON MAPPATO"))</f>
        <v/>
      </c>
      <c r="J178" s="6" t="str">
        <f aca="false">IF($A178="","",IFERROR(VLOOKUP($A178,Transcodifica!$A$5:$J$400,7,FALSE()),""))</f>
        <v/>
      </c>
      <c r="K178" s="6" t="str">
        <f aca="false">IF($A178="","",IFERROR(VLOOKUP($A178,Transcodifica!$A$5:$J$400,8,FALSE()),""))</f>
        <v/>
      </c>
      <c r="L178" s="6" t="str">
        <f aca="false">IF($A178="","",IFERROR(VLOOKUP($A178,Transcodifica!$A$5:$J$400,9,FALSE()),""))</f>
        <v/>
      </c>
      <c r="M178" s="8" t="str">
        <f aca="false">IF($A178="","",IF($E178="APPROVATO",1,IF($E178="In svolgimento",IF($F178="",0,$F178),0)))</f>
        <v/>
      </c>
      <c r="N178" s="10" t="str">
        <f aca="false">IF(OR($A178="",$I178="NON MAPPATO",$I178=""),"",$L178*$M178)</f>
        <v/>
      </c>
    </row>
    <row r="179" customFormat="false" ht="15" hidden="false" customHeight="false" outlineLevel="0" collapsed="false">
      <c r="A179" s="6"/>
      <c r="B179" s="7"/>
      <c r="C179" s="6"/>
      <c r="D179" s="6"/>
      <c r="E179" s="6"/>
      <c r="F179" s="8"/>
      <c r="G179" s="9"/>
      <c r="H179" s="7"/>
      <c r="I179" s="6" t="str">
        <f aca="false">IF($A179="","",IFERROR(VLOOKUP($A179,Transcodifica!$A$5:$J$400,5,FALSE()),"NON MAPPATO"))</f>
        <v/>
      </c>
      <c r="J179" s="6" t="str">
        <f aca="false">IF($A179="","",IFERROR(VLOOKUP($A179,Transcodifica!$A$5:$J$400,7,FALSE()),""))</f>
        <v/>
      </c>
      <c r="K179" s="6" t="str">
        <f aca="false">IF($A179="","",IFERROR(VLOOKUP($A179,Transcodifica!$A$5:$J$400,8,FALSE()),""))</f>
        <v/>
      </c>
      <c r="L179" s="6" t="str">
        <f aca="false">IF($A179="","",IFERROR(VLOOKUP($A179,Transcodifica!$A$5:$J$400,9,FALSE()),""))</f>
        <v/>
      </c>
      <c r="M179" s="8" t="str">
        <f aca="false">IF($A179="","",IF($E179="APPROVATO",1,IF($E179="In svolgimento",IF($F179="",0,$F179),0)))</f>
        <v/>
      </c>
      <c r="N179" s="10" t="str">
        <f aca="false">IF(OR($A179="",$I179="NON MAPPATO",$I179=""),"",$L179*$M179)</f>
        <v/>
      </c>
    </row>
    <row r="180" customFormat="false" ht="15" hidden="false" customHeight="false" outlineLevel="0" collapsed="false">
      <c r="A180" s="6"/>
      <c r="B180" s="7"/>
      <c r="C180" s="6"/>
      <c r="D180" s="6"/>
      <c r="E180" s="6"/>
      <c r="F180" s="8"/>
      <c r="G180" s="9"/>
      <c r="H180" s="7"/>
      <c r="I180" s="6" t="str">
        <f aca="false">IF($A180="","",IFERROR(VLOOKUP($A180,Transcodifica!$A$5:$J$400,5,FALSE()),"NON MAPPATO"))</f>
        <v/>
      </c>
      <c r="J180" s="6" t="str">
        <f aca="false">IF($A180="","",IFERROR(VLOOKUP($A180,Transcodifica!$A$5:$J$400,7,FALSE()),""))</f>
        <v/>
      </c>
      <c r="K180" s="6" t="str">
        <f aca="false">IF($A180="","",IFERROR(VLOOKUP($A180,Transcodifica!$A$5:$J$400,8,FALSE()),""))</f>
        <v/>
      </c>
      <c r="L180" s="6" t="str">
        <f aca="false">IF($A180="","",IFERROR(VLOOKUP($A180,Transcodifica!$A$5:$J$400,9,FALSE()),""))</f>
        <v/>
      </c>
      <c r="M180" s="8" t="str">
        <f aca="false">IF($A180="","",IF($E180="APPROVATO",1,IF($E180="In svolgimento",IF($F180="",0,$F180),0)))</f>
        <v/>
      </c>
      <c r="N180" s="10" t="str">
        <f aca="false">IF(OR($A180="",$I180="NON MAPPATO",$I180=""),"",$L180*$M180)</f>
        <v/>
      </c>
    </row>
    <row r="181" customFormat="false" ht="15" hidden="false" customHeight="false" outlineLevel="0" collapsed="false">
      <c r="A181" s="6"/>
      <c r="B181" s="7"/>
      <c r="C181" s="6"/>
      <c r="D181" s="6"/>
      <c r="E181" s="6"/>
      <c r="F181" s="8"/>
      <c r="G181" s="9"/>
      <c r="H181" s="7"/>
      <c r="I181" s="6" t="str">
        <f aca="false">IF($A181="","",IFERROR(VLOOKUP($A181,Transcodifica!$A$5:$J$400,5,FALSE()),"NON MAPPATO"))</f>
        <v/>
      </c>
      <c r="J181" s="6" t="str">
        <f aca="false">IF($A181="","",IFERROR(VLOOKUP($A181,Transcodifica!$A$5:$J$400,7,FALSE()),""))</f>
        <v/>
      </c>
      <c r="K181" s="6" t="str">
        <f aca="false">IF($A181="","",IFERROR(VLOOKUP($A181,Transcodifica!$A$5:$J$400,8,FALSE()),""))</f>
        <v/>
      </c>
      <c r="L181" s="6" t="str">
        <f aca="false">IF($A181="","",IFERROR(VLOOKUP($A181,Transcodifica!$A$5:$J$400,9,FALSE()),""))</f>
        <v/>
      </c>
      <c r="M181" s="8" t="str">
        <f aca="false">IF($A181="","",IF($E181="APPROVATO",1,IF($E181="In svolgimento",IF($F181="",0,$F181),0)))</f>
        <v/>
      </c>
      <c r="N181" s="10" t="str">
        <f aca="false">IF(OR($A181="",$I181="NON MAPPATO",$I181=""),"",$L181*$M181)</f>
        <v/>
      </c>
    </row>
    <row r="182" customFormat="false" ht="15" hidden="false" customHeight="false" outlineLevel="0" collapsed="false">
      <c r="A182" s="6"/>
      <c r="B182" s="7"/>
      <c r="C182" s="6"/>
      <c r="D182" s="6"/>
      <c r="E182" s="6"/>
      <c r="F182" s="8"/>
      <c r="G182" s="9"/>
      <c r="H182" s="7"/>
      <c r="I182" s="6" t="str">
        <f aca="false">IF($A182="","",IFERROR(VLOOKUP($A182,Transcodifica!$A$5:$J$400,5,FALSE()),"NON MAPPATO"))</f>
        <v/>
      </c>
      <c r="J182" s="6" t="str">
        <f aca="false">IF($A182="","",IFERROR(VLOOKUP($A182,Transcodifica!$A$5:$J$400,7,FALSE()),""))</f>
        <v/>
      </c>
      <c r="K182" s="6" t="str">
        <f aca="false">IF($A182="","",IFERROR(VLOOKUP($A182,Transcodifica!$A$5:$J$400,8,FALSE()),""))</f>
        <v/>
      </c>
      <c r="L182" s="6" t="str">
        <f aca="false">IF($A182="","",IFERROR(VLOOKUP($A182,Transcodifica!$A$5:$J$400,9,FALSE()),""))</f>
        <v/>
      </c>
      <c r="M182" s="8" t="str">
        <f aca="false">IF($A182="","",IF($E182="APPROVATO",1,IF($E182="In svolgimento",IF($F182="",0,$F182),0)))</f>
        <v/>
      </c>
      <c r="N182" s="10" t="str">
        <f aca="false">IF(OR($A182="",$I182="NON MAPPATO",$I182=""),"",$L182*$M182)</f>
        <v/>
      </c>
    </row>
    <row r="183" customFormat="false" ht="15" hidden="false" customHeight="false" outlineLevel="0" collapsed="false">
      <c r="A183" s="6"/>
      <c r="B183" s="7"/>
      <c r="C183" s="6"/>
      <c r="D183" s="6"/>
      <c r="E183" s="6"/>
      <c r="F183" s="8"/>
      <c r="G183" s="9"/>
      <c r="H183" s="7"/>
      <c r="I183" s="6" t="str">
        <f aca="false">IF($A183="","",IFERROR(VLOOKUP($A183,Transcodifica!$A$5:$J$400,5,FALSE()),"NON MAPPATO"))</f>
        <v/>
      </c>
      <c r="J183" s="6" t="str">
        <f aca="false">IF($A183="","",IFERROR(VLOOKUP($A183,Transcodifica!$A$5:$J$400,7,FALSE()),""))</f>
        <v/>
      </c>
      <c r="K183" s="6" t="str">
        <f aca="false">IF($A183="","",IFERROR(VLOOKUP($A183,Transcodifica!$A$5:$J$400,8,FALSE()),""))</f>
        <v/>
      </c>
      <c r="L183" s="6" t="str">
        <f aca="false">IF($A183="","",IFERROR(VLOOKUP($A183,Transcodifica!$A$5:$J$400,9,FALSE()),""))</f>
        <v/>
      </c>
      <c r="M183" s="8" t="str">
        <f aca="false">IF($A183="","",IF($E183="APPROVATO",1,IF($E183="In svolgimento",IF($F183="",0,$F183),0)))</f>
        <v/>
      </c>
      <c r="N183" s="10" t="str">
        <f aca="false">IF(OR($A183="",$I183="NON MAPPATO",$I183=""),"",$L183*$M183)</f>
        <v/>
      </c>
    </row>
    <row r="184" customFormat="false" ht="15" hidden="false" customHeight="false" outlineLevel="0" collapsed="false">
      <c r="A184" s="6"/>
      <c r="B184" s="7"/>
      <c r="C184" s="6"/>
      <c r="D184" s="6"/>
      <c r="E184" s="6"/>
      <c r="F184" s="8"/>
      <c r="G184" s="9"/>
      <c r="H184" s="7"/>
      <c r="I184" s="6" t="str">
        <f aca="false">IF($A184="","",IFERROR(VLOOKUP($A184,Transcodifica!$A$5:$J$400,5,FALSE()),"NON MAPPATO"))</f>
        <v/>
      </c>
      <c r="J184" s="6" t="str">
        <f aca="false">IF($A184="","",IFERROR(VLOOKUP($A184,Transcodifica!$A$5:$J$400,7,FALSE()),""))</f>
        <v/>
      </c>
      <c r="K184" s="6" t="str">
        <f aca="false">IF($A184="","",IFERROR(VLOOKUP($A184,Transcodifica!$A$5:$J$400,8,FALSE()),""))</f>
        <v/>
      </c>
      <c r="L184" s="6" t="str">
        <f aca="false">IF($A184="","",IFERROR(VLOOKUP($A184,Transcodifica!$A$5:$J$400,9,FALSE()),""))</f>
        <v/>
      </c>
      <c r="M184" s="8" t="str">
        <f aca="false">IF($A184="","",IF($E184="APPROVATO",1,IF($E184="In svolgimento",IF($F184="",0,$F184),0)))</f>
        <v/>
      </c>
      <c r="N184" s="10" t="str">
        <f aca="false">IF(OR($A184="",$I184="NON MAPPATO",$I184=""),"",$L184*$M184)</f>
        <v/>
      </c>
    </row>
    <row r="185" customFormat="false" ht="15" hidden="false" customHeight="false" outlineLevel="0" collapsed="false">
      <c r="A185" s="6"/>
      <c r="B185" s="7"/>
      <c r="C185" s="6"/>
      <c r="D185" s="6"/>
      <c r="E185" s="6"/>
      <c r="F185" s="8"/>
      <c r="G185" s="9"/>
      <c r="H185" s="7"/>
      <c r="I185" s="6" t="str">
        <f aca="false">IF($A185="","",IFERROR(VLOOKUP($A185,Transcodifica!$A$5:$J$400,5,FALSE()),"NON MAPPATO"))</f>
        <v/>
      </c>
      <c r="J185" s="6" t="str">
        <f aca="false">IF($A185="","",IFERROR(VLOOKUP($A185,Transcodifica!$A$5:$J$400,7,FALSE()),""))</f>
        <v/>
      </c>
      <c r="K185" s="6" t="str">
        <f aca="false">IF($A185="","",IFERROR(VLOOKUP($A185,Transcodifica!$A$5:$J$400,8,FALSE()),""))</f>
        <v/>
      </c>
      <c r="L185" s="6" t="str">
        <f aca="false">IF($A185="","",IFERROR(VLOOKUP($A185,Transcodifica!$A$5:$J$400,9,FALSE()),""))</f>
        <v/>
      </c>
      <c r="M185" s="8" t="str">
        <f aca="false">IF($A185="","",IF($E185="APPROVATO",1,IF($E185="In svolgimento",IF($F185="",0,$F185),0)))</f>
        <v/>
      </c>
      <c r="N185" s="10" t="str">
        <f aca="false">IF(OR($A185="",$I185="NON MAPPATO",$I185=""),"",$L185*$M185)</f>
        <v/>
      </c>
    </row>
    <row r="186" customFormat="false" ht="15" hidden="false" customHeight="false" outlineLevel="0" collapsed="false">
      <c r="A186" s="6"/>
      <c r="B186" s="7"/>
      <c r="C186" s="6"/>
      <c r="D186" s="6"/>
      <c r="E186" s="6"/>
      <c r="F186" s="8"/>
      <c r="G186" s="9"/>
      <c r="H186" s="7"/>
      <c r="I186" s="6" t="str">
        <f aca="false">IF($A186="","",IFERROR(VLOOKUP($A186,Transcodifica!$A$5:$J$400,5,FALSE()),"NON MAPPATO"))</f>
        <v/>
      </c>
      <c r="J186" s="6" t="str">
        <f aca="false">IF($A186="","",IFERROR(VLOOKUP($A186,Transcodifica!$A$5:$J$400,7,FALSE()),""))</f>
        <v/>
      </c>
      <c r="K186" s="6" t="str">
        <f aca="false">IF($A186="","",IFERROR(VLOOKUP($A186,Transcodifica!$A$5:$J$400,8,FALSE()),""))</f>
        <v/>
      </c>
      <c r="L186" s="6" t="str">
        <f aca="false">IF($A186="","",IFERROR(VLOOKUP($A186,Transcodifica!$A$5:$J$400,9,FALSE()),""))</f>
        <v/>
      </c>
      <c r="M186" s="8" t="str">
        <f aca="false">IF($A186="","",IF($E186="APPROVATO",1,IF($E186="In svolgimento",IF($F186="",0,$F186),0)))</f>
        <v/>
      </c>
      <c r="N186" s="10" t="str">
        <f aca="false">IF(OR($A186="",$I186="NON MAPPATO",$I186=""),"",$L186*$M186)</f>
        <v/>
      </c>
    </row>
    <row r="187" customFormat="false" ht="15" hidden="false" customHeight="false" outlineLevel="0" collapsed="false">
      <c r="A187" s="6"/>
      <c r="B187" s="7"/>
      <c r="C187" s="6"/>
      <c r="D187" s="6"/>
      <c r="E187" s="6"/>
      <c r="F187" s="8"/>
      <c r="G187" s="9"/>
      <c r="H187" s="7"/>
      <c r="I187" s="6" t="str">
        <f aca="false">IF($A187="","",IFERROR(VLOOKUP($A187,Transcodifica!$A$5:$J$400,5,FALSE()),"NON MAPPATO"))</f>
        <v/>
      </c>
      <c r="J187" s="6" t="str">
        <f aca="false">IF($A187="","",IFERROR(VLOOKUP($A187,Transcodifica!$A$5:$J$400,7,FALSE()),""))</f>
        <v/>
      </c>
      <c r="K187" s="6" t="str">
        <f aca="false">IF($A187="","",IFERROR(VLOOKUP($A187,Transcodifica!$A$5:$J$400,8,FALSE()),""))</f>
        <v/>
      </c>
      <c r="L187" s="6" t="str">
        <f aca="false">IF($A187="","",IFERROR(VLOOKUP($A187,Transcodifica!$A$5:$J$400,9,FALSE()),""))</f>
        <v/>
      </c>
      <c r="M187" s="8" t="str">
        <f aca="false">IF($A187="","",IF($E187="APPROVATO",1,IF($E187="In svolgimento",IF($F187="",0,$F187),0)))</f>
        <v/>
      </c>
      <c r="N187" s="10" t="str">
        <f aca="false">IF(OR($A187="",$I187="NON MAPPATO",$I187=""),"",$L187*$M187)</f>
        <v/>
      </c>
    </row>
    <row r="188" customFormat="false" ht="15" hidden="false" customHeight="false" outlineLevel="0" collapsed="false">
      <c r="A188" s="6"/>
      <c r="B188" s="7"/>
      <c r="C188" s="6"/>
      <c r="D188" s="6"/>
      <c r="E188" s="6"/>
      <c r="F188" s="8"/>
      <c r="G188" s="9"/>
      <c r="H188" s="7"/>
      <c r="I188" s="6" t="str">
        <f aca="false">IF($A188="","",IFERROR(VLOOKUP($A188,Transcodifica!$A$5:$J$400,5,FALSE()),"NON MAPPATO"))</f>
        <v/>
      </c>
      <c r="J188" s="6" t="str">
        <f aca="false">IF($A188="","",IFERROR(VLOOKUP($A188,Transcodifica!$A$5:$J$400,7,FALSE()),""))</f>
        <v/>
      </c>
      <c r="K188" s="6" t="str">
        <f aca="false">IF($A188="","",IFERROR(VLOOKUP($A188,Transcodifica!$A$5:$J$400,8,FALSE()),""))</f>
        <v/>
      </c>
      <c r="L188" s="6" t="str">
        <f aca="false">IF($A188="","",IFERROR(VLOOKUP($A188,Transcodifica!$A$5:$J$400,9,FALSE()),""))</f>
        <v/>
      </c>
      <c r="M188" s="8" t="str">
        <f aca="false">IF($A188="","",IF($E188="APPROVATO",1,IF($E188="In svolgimento",IF($F188="",0,$F188),0)))</f>
        <v/>
      </c>
      <c r="N188" s="10" t="str">
        <f aca="false">IF(OR($A188="",$I188="NON MAPPATO",$I188=""),"",$L188*$M188)</f>
        <v/>
      </c>
    </row>
    <row r="189" customFormat="false" ht="15" hidden="false" customHeight="false" outlineLevel="0" collapsed="false">
      <c r="A189" s="6"/>
      <c r="B189" s="7"/>
      <c r="C189" s="6"/>
      <c r="D189" s="6"/>
      <c r="E189" s="6"/>
      <c r="F189" s="8"/>
      <c r="G189" s="9"/>
      <c r="H189" s="7"/>
      <c r="I189" s="6" t="str">
        <f aca="false">IF($A189="","",IFERROR(VLOOKUP($A189,Transcodifica!$A$5:$J$400,5,FALSE()),"NON MAPPATO"))</f>
        <v/>
      </c>
      <c r="J189" s="6" t="str">
        <f aca="false">IF($A189="","",IFERROR(VLOOKUP($A189,Transcodifica!$A$5:$J$400,7,FALSE()),""))</f>
        <v/>
      </c>
      <c r="K189" s="6" t="str">
        <f aca="false">IF($A189="","",IFERROR(VLOOKUP($A189,Transcodifica!$A$5:$J$400,8,FALSE()),""))</f>
        <v/>
      </c>
      <c r="L189" s="6" t="str">
        <f aca="false">IF($A189="","",IFERROR(VLOOKUP($A189,Transcodifica!$A$5:$J$400,9,FALSE()),""))</f>
        <v/>
      </c>
      <c r="M189" s="8" t="str">
        <f aca="false">IF($A189="","",IF($E189="APPROVATO",1,IF($E189="In svolgimento",IF($F189="",0,$F189),0)))</f>
        <v/>
      </c>
      <c r="N189" s="10" t="str">
        <f aca="false">IF(OR($A189="",$I189="NON MAPPATO",$I189=""),"",$L189*$M189)</f>
        <v/>
      </c>
    </row>
    <row r="190" customFormat="false" ht="15" hidden="false" customHeight="false" outlineLevel="0" collapsed="false">
      <c r="A190" s="6"/>
      <c r="B190" s="7"/>
      <c r="C190" s="6"/>
      <c r="D190" s="6"/>
      <c r="E190" s="6"/>
      <c r="F190" s="8"/>
      <c r="G190" s="9"/>
      <c r="H190" s="7"/>
      <c r="I190" s="6" t="str">
        <f aca="false">IF($A190="","",IFERROR(VLOOKUP($A190,Transcodifica!$A$5:$J$400,5,FALSE()),"NON MAPPATO"))</f>
        <v/>
      </c>
      <c r="J190" s="6" t="str">
        <f aca="false">IF($A190="","",IFERROR(VLOOKUP($A190,Transcodifica!$A$5:$J$400,7,FALSE()),""))</f>
        <v/>
      </c>
      <c r="K190" s="6" t="str">
        <f aca="false">IF($A190="","",IFERROR(VLOOKUP($A190,Transcodifica!$A$5:$J$400,8,FALSE()),""))</f>
        <v/>
      </c>
      <c r="L190" s="6" t="str">
        <f aca="false">IF($A190="","",IFERROR(VLOOKUP($A190,Transcodifica!$A$5:$J$400,9,FALSE()),""))</f>
        <v/>
      </c>
      <c r="M190" s="8" t="str">
        <f aca="false">IF($A190="","",IF($E190="APPROVATO",1,IF($E190="In svolgimento",IF($F190="",0,$F190),0)))</f>
        <v/>
      </c>
      <c r="N190" s="10" t="str">
        <f aca="false">IF(OR($A190="",$I190="NON MAPPATO",$I190=""),"",$L190*$M190)</f>
        <v/>
      </c>
    </row>
    <row r="191" customFormat="false" ht="15" hidden="false" customHeight="false" outlineLevel="0" collapsed="false">
      <c r="A191" s="6"/>
      <c r="B191" s="7"/>
      <c r="C191" s="6"/>
      <c r="D191" s="6"/>
      <c r="E191" s="6"/>
      <c r="F191" s="8"/>
      <c r="G191" s="9"/>
      <c r="H191" s="7"/>
      <c r="I191" s="6" t="str">
        <f aca="false">IF($A191="","",IFERROR(VLOOKUP($A191,Transcodifica!$A$5:$J$400,5,FALSE()),"NON MAPPATO"))</f>
        <v/>
      </c>
      <c r="J191" s="6" t="str">
        <f aca="false">IF($A191="","",IFERROR(VLOOKUP($A191,Transcodifica!$A$5:$J$400,7,FALSE()),""))</f>
        <v/>
      </c>
      <c r="K191" s="6" t="str">
        <f aca="false">IF($A191="","",IFERROR(VLOOKUP($A191,Transcodifica!$A$5:$J$400,8,FALSE()),""))</f>
        <v/>
      </c>
      <c r="L191" s="6" t="str">
        <f aca="false">IF($A191="","",IFERROR(VLOOKUP($A191,Transcodifica!$A$5:$J$400,9,FALSE()),""))</f>
        <v/>
      </c>
      <c r="M191" s="8" t="str">
        <f aca="false">IF($A191="","",IF($E191="APPROVATO",1,IF($E191="In svolgimento",IF($F191="",0,$F191),0)))</f>
        <v/>
      </c>
      <c r="N191" s="10" t="str">
        <f aca="false">IF(OR($A191="",$I191="NON MAPPATO",$I191=""),"",$L191*$M191)</f>
        <v/>
      </c>
    </row>
    <row r="192" customFormat="false" ht="15" hidden="false" customHeight="false" outlineLevel="0" collapsed="false">
      <c r="A192" s="6"/>
      <c r="B192" s="7"/>
      <c r="C192" s="6"/>
      <c r="D192" s="6"/>
      <c r="E192" s="6"/>
      <c r="F192" s="8"/>
      <c r="G192" s="9"/>
      <c r="H192" s="7"/>
      <c r="I192" s="6" t="str">
        <f aca="false">IF($A192="","",IFERROR(VLOOKUP($A192,Transcodifica!$A$5:$J$400,5,FALSE()),"NON MAPPATO"))</f>
        <v/>
      </c>
      <c r="J192" s="6" t="str">
        <f aca="false">IF($A192="","",IFERROR(VLOOKUP($A192,Transcodifica!$A$5:$J$400,7,FALSE()),""))</f>
        <v/>
      </c>
      <c r="K192" s="6" t="str">
        <f aca="false">IF($A192="","",IFERROR(VLOOKUP($A192,Transcodifica!$A$5:$J$400,8,FALSE()),""))</f>
        <v/>
      </c>
      <c r="L192" s="6" t="str">
        <f aca="false">IF($A192="","",IFERROR(VLOOKUP($A192,Transcodifica!$A$5:$J$400,9,FALSE()),""))</f>
        <v/>
      </c>
      <c r="M192" s="8" t="str">
        <f aca="false">IF($A192="","",IF($E192="APPROVATO",1,IF($E192="In svolgimento",IF($F192="",0,$F192),0)))</f>
        <v/>
      </c>
      <c r="N192" s="10" t="str">
        <f aca="false">IF(OR($A192="",$I192="NON MAPPATO",$I192=""),"",$L192*$M192)</f>
        <v/>
      </c>
    </row>
    <row r="193" customFormat="false" ht="15" hidden="false" customHeight="false" outlineLevel="0" collapsed="false">
      <c r="A193" s="6"/>
      <c r="B193" s="7"/>
      <c r="C193" s="6"/>
      <c r="D193" s="6"/>
      <c r="E193" s="6"/>
      <c r="F193" s="8"/>
      <c r="G193" s="9"/>
      <c r="H193" s="7"/>
      <c r="I193" s="6" t="str">
        <f aca="false">IF($A193="","",IFERROR(VLOOKUP($A193,Transcodifica!$A$5:$J$400,5,FALSE()),"NON MAPPATO"))</f>
        <v/>
      </c>
      <c r="J193" s="6" t="str">
        <f aca="false">IF($A193="","",IFERROR(VLOOKUP($A193,Transcodifica!$A$5:$J$400,7,FALSE()),""))</f>
        <v/>
      </c>
      <c r="K193" s="6" t="str">
        <f aca="false">IF($A193="","",IFERROR(VLOOKUP($A193,Transcodifica!$A$5:$J$400,8,FALSE()),""))</f>
        <v/>
      </c>
      <c r="L193" s="6" t="str">
        <f aca="false">IF($A193="","",IFERROR(VLOOKUP($A193,Transcodifica!$A$5:$J$400,9,FALSE()),""))</f>
        <v/>
      </c>
      <c r="M193" s="8" t="str">
        <f aca="false">IF($A193="","",IF($E193="APPROVATO",1,IF($E193="In svolgimento",IF($F193="",0,$F193),0)))</f>
        <v/>
      </c>
      <c r="N193" s="10" t="str">
        <f aca="false">IF(OR($A193="",$I193="NON MAPPATO",$I193=""),"",$L193*$M193)</f>
        <v/>
      </c>
    </row>
    <row r="194" customFormat="false" ht="15" hidden="false" customHeight="false" outlineLevel="0" collapsed="false">
      <c r="A194" s="6"/>
      <c r="B194" s="7"/>
      <c r="C194" s="6"/>
      <c r="D194" s="6"/>
      <c r="E194" s="6"/>
      <c r="F194" s="8"/>
      <c r="G194" s="9"/>
      <c r="H194" s="7"/>
      <c r="I194" s="6" t="str">
        <f aca="false">IF($A194="","",IFERROR(VLOOKUP($A194,Transcodifica!$A$5:$J$400,5,FALSE()),"NON MAPPATO"))</f>
        <v/>
      </c>
      <c r="J194" s="6" t="str">
        <f aca="false">IF($A194="","",IFERROR(VLOOKUP($A194,Transcodifica!$A$5:$J$400,7,FALSE()),""))</f>
        <v/>
      </c>
      <c r="K194" s="6" t="str">
        <f aca="false">IF($A194="","",IFERROR(VLOOKUP($A194,Transcodifica!$A$5:$J$400,8,FALSE()),""))</f>
        <v/>
      </c>
      <c r="L194" s="6" t="str">
        <f aca="false">IF($A194="","",IFERROR(VLOOKUP($A194,Transcodifica!$A$5:$J$400,9,FALSE()),""))</f>
        <v/>
      </c>
      <c r="M194" s="8" t="str">
        <f aca="false">IF($A194="","",IF($E194="APPROVATO",1,IF($E194="In svolgimento",IF($F194="",0,$F194),0)))</f>
        <v/>
      </c>
      <c r="N194" s="10" t="str">
        <f aca="false">IF(OR($A194="",$I194="NON MAPPATO",$I194=""),"",$L194*$M194)</f>
        <v/>
      </c>
    </row>
    <row r="195" customFormat="false" ht="15" hidden="false" customHeight="false" outlineLevel="0" collapsed="false">
      <c r="A195" s="6"/>
      <c r="B195" s="7"/>
      <c r="C195" s="6"/>
      <c r="D195" s="6"/>
      <c r="E195" s="6"/>
      <c r="F195" s="8"/>
      <c r="G195" s="9"/>
      <c r="H195" s="7"/>
      <c r="I195" s="6" t="str">
        <f aca="false">IF($A195="","",IFERROR(VLOOKUP($A195,Transcodifica!$A$5:$J$400,5,FALSE()),"NON MAPPATO"))</f>
        <v/>
      </c>
      <c r="J195" s="6" t="str">
        <f aca="false">IF($A195="","",IFERROR(VLOOKUP($A195,Transcodifica!$A$5:$J$400,7,FALSE()),""))</f>
        <v/>
      </c>
      <c r="K195" s="6" t="str">
        <f aca="false">IF($A195="","",IFERROR(VLOOKUP($A195,Transcodifica!$A$5:$J$400,8,FALSE()),""))</f>
        <v/>
      </c>
      <c r="L195" s="6" t="str">
        <f aca="false">IF($A195="","",IFERROR(VLOOKUP($A195,Transcodifica!$A$5:$J$400,9,FALSE()),""))</f>
        <v/>
      </c>
      <c r="M195" s="8" t="str">
        <f aca="false">IF($A195="","",IF($E195="APPROVATO",1,IF($E195="In svolgimento",IF($F195="",0,$F195),0)))</f>
        <v/>
      </c>
      <c r="N195" s="10" t="str">
        <f aca="false">IF(OR($A195="",$I195="NON MAPPATO",$I195=""),"",$L195*$M195)</f>
        <v/>
      </c>
    </row>
    <row r="196" customFormat="false" ht="15" hidden="false" customHeight="false" outlineLevel="0" collapsed="false">
      <c r="A196" s="6"/>
      <c r="B196" s="7"/>
      <c r="C196" s="6"/>
      <c r="D196" s="6"/>
      <c r="E196" s="6"/>
      <c r="F196" s="8"/>
      <c r="G196" s="9"/>
      <c r="H196" s="7"/>
      <c r="I196" s="6" t="str">
        <f aca="false">IF($A196="","",IFERROR(VLOOKUP($A196,Transcodifica!$A$5:$J$400,5,FALSE()),"NON MAPPATO"))</f>
        <v/>
      </c>
      <c r="J196" s="6" t="str">
        <f aca="false">IF($A196="","",IFERROR(VLOOKUP($A196,Transcodifica!$A$5:$J$400,7,FALSE()),""))</f>
        <v/>
      </c>
      <c r="K196" s="6" t="str">
        <f aca="false">IF($A196="","",IFERROR(VLOOKUP($A196,Transcodifica!$A$5:$J$400,8,FALSE()),""))</f>
        <v/>
      </c>
      <c r="L196" s="6" t="str">
        <f aca="false">IF($A196="","",IFERROR(VLOOKUP($A196,Transcodifica!$A$5:$J$400,9,FALSE()),""))</f>
        <v/>
      </c>
      <c r="M196" s="8" t="str">
        <f aca="false">IF($A196="","",IF($E196="APPROVATO",1,IF($E196="In svolgimento",IF($F196="",0,$F196),0)))</f>
        <v/>
      </c>
      <c r="N196" s="10" t="str">
        <f aca="false">IF(OR($A196="",$I196="NON MAPPATO",$I196=""),"",$L196*$M196)</f>
        <v/>
      </c>
    </row>
    <row r="197" customFormat="false" ht="15" hidden="false" customHeight="false" outlineLevel="0" collapsed="false">
      <c r="A197" s="6"/>
      <c r="B197" s="7"/>
      <c r="C197" s="6"/>
      <c r="D197" s="6"/>
      <c r="E197" s="6"/>
      <c r="F197" s="8"/>
      <c r="G197" s="9"/>
      <c r="H197" s="7"/>
      <c r="I197" s="6" t="str">
        <f aca="false">IF($A197="","",IFERROR(VLOOKUP($A197,Transcodifica!$A$5:$J$400,5,FALSE()),"NON MAPPATO"))</f>
        <v/>
      </c>
      <c r="J197" s="6" t="str">
        <f aca="false">IF($A197="","",IFERROR(VLOOKUP($A197,Transcodifica!$A$5:$J$400,7,FALSE()),""))</f>
        <v/>
      </c>
      <c r="K197" s="6" t="str">
        <f aca="false">IF($A197="","",IFERROR(VLOOKUP($A197,Transcodifica!$A$5:$J$400,8,FALSE()),""))</f>
        <v/>
      </c>
      <c r="L197" s="6" t="str">
        <f aca="false">IF($A197="","",IFERROR(VLOOKUP($A197,Transcodifica!$A$5:$J$400,9,FALSE()),""))</f>
        <v/>
      </c>
      <c r="M197" s="8" t="str">
        <f aca="false">IF($A197="","",IF($E197="APPROVATO",1,IF($E197="In svolgimento",IF($F197="",0,$F197),0)))</f>
        <v/>
      </c>
      <c r="N197" s="10" t="str">
        <f aca="false">IF(OR($A197="",$I197="NON MAPPATO",$I197=""),"",$L197*$M197)</f>
        <v/>
      </c>
    </row>
    <row r="198" customFormat="false" ht="15" hidden="false" customHeight="false" outlineLevel="0" collapsed="false">
      <c r="A198" s="6"/>
      <c r="B198" s="7"/>
      <c r="C198" s="6"/>
      <c r="D198" s="6"/>
      <c r="E198" s="6"/>
      <c r="F198" s="8"/>
      <c r="G198" s="9"/>
      <c r="H198" s="7"/>
      <c r="I198" s="6" t="str">
        <f aca="false">IF($A198="","",IFERROR(VLOOKUP($A198,Transcodifica!$A$5:$J$400,5,FALSE()),"NON MAPPATO"))</f>
        <v/>
      </c>
      <c r="J198" s="6" t="str">
        <f aca="false">IF($A198="","",IFERROR(VLOOKUP($A198,Transcodifica!$A$5:$J$400,7,FALSE()),""))</f>
        <v/>
      </c>
      <c r="K198" s="6" t="str">
        <f aca="false">IF($A198="","",IFERROR(VLOOKUP($A198,Transcodifica!$A$5:$J$400,8,FALSE()),""))</f>
        <v/>
      </c>
      <c r="L198" s="6" t="str">
        <f aca="false">IF($A198="","",IFERROR(VLOOKUP($A198,Transcodifica!$A$5:$J$400,9,FALSE()),""))</f>
        <v/>
      </c>
      <c r="M198" s="8" t="str">
        <f aca="false">IF($A198="","",IF($E198="APPROVATO",1,IF($E198="In svolgimento",IF($F198="",0,$F198),0)))</f>
        <v/>
      </c>
      <c r="N198" s="10" t="str">
        <f aca="false">IF(OR($A198="",$I198="NON MAPPATO",$I198=""),"",$L198*$M198)</f>
        <v/>
      </c>
    </row>
    <row r="199" customFormat="false" ht="15" hidden="false" customHeight="false" outlineLevel="0" collapsed="false">
      <c r="A199" s="6"/>
      <c r="B199" s="7"/>
      <c r="C199" s="6"/>
      <c r="D199" s="6"/>
      <c r="E199" s="6"/>
      <c r="F199" s="8"/>
      <c r="G199" s="9"/>
      <c r="H199" s="7"/>
      <c r="I199" s="6" t="str">
        <f aca="false">IF($A199="","",IFERROR(VLOOKUP($A199,Transcodifica!$A$5:$J$400,5,FALSE()),"NON MAPPATO"))</f>
        <v/>
      </c>
      <c r="J199" s="6" t="str">
        <f aca="false">IF($A199="","",IFERROR(VLOOKUP($A199,Transcodifica!$A$5:$J$400,7,FALSE()),""))</f>
        <v/>
      </c>
      <c r="K199" s="6" t="str">
        <f aca="false">IF($A199="","",IFERROR(VLOOKUP($A199,Transcodifica!$A$5:$J$400,8,FALSE()),""))</f>
        <v/>
      </c>
      <c r="L199" s="6" t="str">
        <f aca="false">IF($A199="","",IFERROR(VLOOKUP($A199,Transcodifica!$A$5:$J$400,9,FALSE()),""))</f>
        <v/>
      </c>
      <c r="M199" s="8" t="str">
        <f aca="false">IF($A199="","",IF($E199="APPROVATO",1,IF($E199="In svolgimento",IF($F199="",0,$F199),0)))</f>
        <v/>
      </c>
      <c r="N199" s="10" t="str">
        <f aca="false">IF(OR($A199="",$I199="NON MAPPATO",$I199=""),"",$L199*$M199)</f>
        <v/>
      </c>
    </row>
    <row r="200" customFormat="false" ht="15" hidden="false" customHeight="false" outlineLevel="0" collapsed="false">
      <c r="A200" s="6"/>
      <c r="B200" s="7"/>
      <c r="C200" s="6"/>
      <c r="D200" s="6"/>
      <c r="E200" s="6"/>
      <c r="F200" s="8"/>
      <c r="G200" s="9"/>
      <c r="H200" s="7"/>
      <c r="I200" s="6" t="str">
        <f aca="false">IF($A200="","",IFERROR(VLOOKUP($A200,Transcodifica!$A$5:$J$400,5,FALSE()),"NON MAPPATO"))</f>
        <v/>
      </c>
      <c r="J200" s="6" t="str">
        <f aca="false">IF($A200="","",IFERROR(VLOOKUP($A200,Transcodifica!$A$5:$J$400,7,FALSE()),""))</f>
        <v/>
      </c>
      <c r="K200" s="6" t="str">
        <f aca="false">IF($A200="","",IFERROR(VLOOKUP($A200,Transcodifica!$A$5:$J$400,8,FALSE()),""))</f>
        <v/>
      </c>
      <c r="L200" s="6" t="str">
        <f aca="false">IF($A200="","",IFERROR(VLOOKUP($A200,Transcodifica!$A$5:$J$400,9,FALSE()),""))</f>
        <v/>
      </c>
      <c r="M200" s="8" t="str">
        <f aca="false">IF($A200="","",IF($E200="APPROVATO",1,IF($E200="In svolgimento",IF($F200="",0,$F200),0)))</f>
        <v/>
      </c>
      <c r="N200" s="10" t="str">
        <f aca="false">IF(OR($A200="",$I200="NON MAPPATO",$I200=""),"",$L200*$M200)</f>
        <v/>
      </c>
    </row>
    <row r="201" customFormat="false" ht="15" hidden="false" customHeight="false" outlineLevel="0" collapsed="false">
      <c r="A201" s="6"/>
      <c r="B201" s="7"/>
      <c r="C201" s="6"/>
      <c r="D201" s="6"/>
      <c r="E201" s="6"/>
      <c r="F201" s="8"/>
      <c r="G201" s="9"/>
      <c r="H201" s="7"/>
      <c r="I201" s="6" t="str">
        <f aca="false">IF($A201="","",IFERROR(VLOOKUP($A201,Transcodifica!$A$5:$J$400,5,FALSE()),"NON MAPPATO"))</f>
        <v/>
      </c>
      <c r="J201" s="6" t="str">
        <f aca="false">IF($A201="","",IFERROR(VLOOKUP($A201,Transcodifica!$A$5:$J$400,7,FALSE()),""))</f>
        <v/>
      </c>
      <c r="K201" s="6" t="str">
        <f aca="false">IF($A201="","",IFERROR(VLOOKUP($A201,Transcodifica!$A$5:$J$400,8,FALSE()),""))</f>
        <v/>
      </c>
      <c r="L201" s="6" t="str">
        <f aca="false">IF($A201="","",IFERROR(VLOOKUP($A201,Transcodifica!$A$5:$J$400,9,FALSE()),""))</f>
        <v/>
      </c>
      <c r="M201" s="8" t="str">
        <f aca="false">IF($A201="","",IF($E201="APPROVATO",1,IF($E201="In svolgimento",IF($F201="",0,$F201),0)))</f>
        <v/>
      </c>
      <c r="N201" s="10" t="str">
        <f aca="false">IF(OR($A201="",$I201="NON MAPPATO",$I201=""),"",$L201*$M201)</f>
        <v/>
      </c>
    </row>
    <row r="202" customFormat="false" ht="15" hidden="false" customHeight="false" outlineLevel="0" collapsed="false">
      <c r="A202" s="6"/>
      <c r="B202" s="7"/>
      <c r="C202" s="6"/>
      <c r="D202" s="6"/>
      <c r="E202" s="6"/>
      <c r="F202" s="8"/>
      <c r="G202" s="9"/>
      <c r="H202" s="7"/>
      <c r="I202" s="6" t="str">
        <f aca="false">IF($A202="","",IFERROR(VLOOKUP($A202,Transcodifica!$A$5:$J$400,5,FALSE()),"NON MAPPATO"))</f>
        <v/>
      </c>
      <c r="J202" s="6" t="str">
        <f aca="false">IF($A202="","",IFERROR(VLOOKUP($A202,Transcodifica!$A$5:$J$400,7,FALSE()),""))</f>
        <v/>
      </c>
      <c r="K202" s="6" t="str">
        <f aca="false">IF($A202="","",IFERROR(VLOOKUP($A202,Transcodifica!$A$5:$J$400,8,FALSE()),""))</f>
        <v/>
      </c>
      <c r="L202" s="6" t="str">
        <f aca="false">IF($A202="","",IFERROR(VLOOKUP($A202,Transcodifica!$A$5:$J$400,9,FALSE()),""))</f>
        <v/>
      </c>
      <c r="M202" s="8" t="str">
        <f aca="false">IF($A202="","",IF($E202="APPROVATO",1,IF($E202="In svolgimento",IF($F202="",0,$F202),0)))</f>
        <v/>
      </c>
      <c r="N202" s="10" t="str">
        <f aca="false">IF(OR($A202="",$I202="NON MAPPATO",$I202=""),"",$L202*$M202)</f>
        <v/>
      </c>
    </row>
    <row r="203" customFormat="false" ht="15" hidden="false" customHeight="false" outlineLevel="0" collapsed="false">
      <c r="A203" s="6"/>
      <c r="B203" s="7"/>
      <c r="C203" s="6"/>
      <c r="D203" s="6"/>
      <c r="E203" s="6"/>
      <c r="F203" s="8"/>
      <c r="G203" s="9"/>
      <c r="H203" s="7"/>
      <c r="I203" s="6" t="str">
        <f aca="false">IF($A203="","",IFERROR(VLOOKUP($A203,Transcodifica!$A$5:$J$400,5,FALSE()),"NON MAPPATO"))</f>
        <v/>
      </c>
      <c r="J203" s="6" t="str">
        <f aca="false">IF($A203="","",IFERROR(VLOOKUP($A203,Transcodifica!$A$5:$J$400,7,FALSE()),""))</f>
        <v/>
      </c>
      <c r="K203" s="6" t="str">
        <f aca="false">IF($A203="","",IFERROR(VLOOKUP($A203,Transcodifica!$A$5:$J$400,8,FALSE()),""))</f>
        <v/>
      </c>
      <c r="L203" s="6" t="str">
        <f aca="false">IF($A203="","",IFERROR(VLOOKUP($A203,Transcodifica!$A$5:$J$400,9,FALSE()),""))</f>
        <v/>
      </c>
      <c r="M203" s="8" t="str">
        <f aca="false">IF($A203="","",IF($E203="APPROVATO",1,IF($E203="In svolgimento",IF($F203="",0,$F203),0)))</f>
        <v/>
      </c>
      <c r="N203" s="10" t="str">
        <f aca="false">IF(OR($A203="",$I203="NON MAPPATO",$I203=""),"",$L203*$M203)</f>
        <v/>
      </c>
    </row>
    <row r="204" customFormat="false" ht="15" hidden="false" customHeight="false" outlineLevel="0" collapsed="false">
      <c r="A204" s="6"/>
      <c r="B204" s="7"/>
      <c r="C204" s="6"/>
      <c r="D204" s="6"/>
      <c r="E204" s="6"/>
      <c r="F204" s="8"/>
      <c r="G204" s="9"/>
      <c r="H204" s="7"/>
      <c r="I204" s="6" t="str">
        <f aca="false">IF($A204="","",IFERROR(VLOOKUP($A204,Transcodifica!$A$5:$J$400,5,FALSE()),"NON MAPPATO"))</f>
        <v/>
      </c>
      <c r="J204" s="6" t="str">
        <f aca="false">IF($A204="","",IFERROR(VLOOKUP($A204,Transcodifica!$A$5:$J$400,7,FALSE()),""))</f>
        <v/>
      </c>
      <c r="K204" s="6" t="str">
        <f aca="false">IF($A204="","",IFERROR(VLOOKUP($A204,Transcodifica!$A$5:$J$400,8,FALSE()),""))</f>
        <v/>
      </c>
      <c r="L204" s="6" t="str">
        <f aca="false">IF($A204="","",IFERROR(VLOOKUP($A204,Transcodifica!$A$5:$J$400,9,FALSE()),""))</f>
        <v/>
      </c>
      <c r="M204" s="8" t="str">
        <f aca="false">IF($A204="","",IF($E204="APPROVATO",1,IF($E204="In svolgimento",IF($F204="",0,$F204),0)))</f>
        <v/>
      </c>
      <c r="N204" s="10" t="str">
        <f aca="false">IF(OR($A204="",$I204="NON MAPPATO",$I204=""),"",$L204*$M204)</f>
        <v/>
      </c>
    </row>
    <row r="205" customFormat="false" ht="15" hidden="false" customHeight="false" outlineLevel="0" collapsed="false">
      <c r="A205" s="6"/>
      <c r="B205" s="7"/>
      <c r="C205" s="6"/>
      <c r="D205" s="6"/>
      <c r="E205" s="6"/>
      <c r="F205" s="8"/>
      <c r="G205" s="9"/>
      <c r="H205" s="7"/>
      <c r="I205" s="6" t="str">
        <f aca="false">IF($A205="","",IFERROR(VLOOKUP($A205,Transcodifica!$A$5:$J$400,5,FALSE()),"NON MAPPATO"))</f>
        <v/>
      </c>
      <c r="J205" s="6" t="str">
        <f aca="false">IF($A205="","",IFERROR(VLOOKUP($A205,Transcodifica!$A$5:$J$400,7,FALSE()),""))</f>
        <v/>
      </c>
      <c r="K205" s="6" t="str">
        <f aca="false">IF($A205="","",IFERROR(VLOOKUP($A205,Transcodifica!$A$5:$J$400,8,FALSE()),""))</f>
        <v/>
      </c>
      <c r="L205" s="6" t="str">
        <f aca="false">IF($A205="","",IFERROR(VLOOKUP($A205,Transcodifica!$A$5:$J$400,9,FALSE()),""))</f>
        <v/>
      </c>
      <c r="M205" s="8" t="str">
        <f aca="false">IF($A205="","",IF($E205="APPROVATO",1,IF($E205="In svolgimento",IF($F205="",0,$F205),0)))</f>
        <v/>
      </c>
      <c r="N205" s="10" t="str">
        <f aca="false">IF(OR($A205="",$I205="NON MAPPATO",$I205=""),"",$L205*$M205)</f>
        <v/>
      </c>
    </row>
    <row r="206" customFormat="false" ht="15" hidden="false" customHeight="false" outlineLevel="0" collapsed="false">
      <c r="A206" s="6"/>
      <c r="B206" s="7"/>
      <c r="C206" s="6"/>
      <c r="D206" s="6"/>
      <c r="E206" s="6"/>
      <c r="F206" s="8"/>
      <c r="G206" s="9"/>
      <c r="H206" s="7"/>
      <c r="I206" s="6" t="str">
        <f aca="false">IF($A206="","",IFERROR(VLOOKUP($A206,Transcodifica!$A$5:$J$400,5,FALSE()),"NON MAPPATO"))</f>
        <v/>
      </c>
      <c r="J206" s="6" t="str">
        <f aca="false">IF($A206="","",IFERROR(VLOOKUP($A206,Transcodifica!$A$5:$J$400,7,FALSE()),""))</f>
        <v/>
      </c>
      <c r="K206" s="6" t="str">
        <f aca="false">IF($A206="","",IFERROR(VLOOKUP($A206,Transcodifica!$A$5:$J$400,8,FALSE()),""))</f>
        <v/>
      </c>
      <c r="L206" s="6" t="str">
        <f aca="false">IF($A206="","",IFERROR(VLOOKUP($A206,Transcodifica!$A$5:$J$400,9,FALSE()),""))</f>
        <v/>
      </c>
      <c r="M206" s="8" t="str">
        <f aca="false">IF($A206="","",IF($E206="APPROVATO",1,IF($E206="In svolgimento",IF($F206="",0,$F206),0)))</f>
        <v/>
      </c>
      <c r="N206" s="10" t="str">
        <f aca="false">IF(OR($A206="",$I206="NON MAPPATO",$I206=""),"",$L206*$M206)</f>
        <v/>
      </c>
    </row>
    <row r="207" customFormat="false" ht="15" hidden="false" customHeight="false" outlineLevel="0" collapsed="false">
      <c r="A207" s="6"/>
      <c r="B207" s="7"/>
      <c r="C207" s="6"/>
      <c r="D207" s="6"/>
      <c r="E207" s="6"/>
      <c r="F207" s="8"/>
      <c r="G207" s="9"/>
      <c r="H207" s="7"/>
      <c r="I207" s="6" t="str">
        <f aca="false">IF($A207="","",IFERROR(VLOOKUP($A207,Transcodifica!$A$5:$J$400,5,FALSE()),"NON MAPPATO"))</f>
        <v/>
      </c>
      <c r="J207" s="6" t="str">
        <f aca="false">IF($A207="","",IFERROR(VLOOKUP($A207,Transcodifica!$A$5:$J$400,7,FALSE()),""))</f>
        <v/>
      </c>
      <c r="K207" s="6" t="str">
        <f aca="false">IF($A207="","",IFERROR(VLOOKUP($A207,Transcodifica!$A$5:$J$400,8,FALSE()),""))</f>
        <v/>
      </c>
      <c r="L207" s="6" t="str">
        <f aca="false">IF($A207="","",IFERROR(VLOOKUP($A207,Transcodifica!$A$5:$J$400,9,FALSE()),""))</f>
        <v/>
      </c>
      <c r="M207" s="8" t="str">
        <f aca="false">IF($A207="","",IF($E207="APPROVATO",1,IF($E207="In svolgimento",IF($F207="",0,$F207),0)))</f>
        <v/>
      </c>
      <c r="N207" s="10" t="str">
        <f aca="false">IF(OR($A207="",$I207="NON MAPPATO",$I207=""),"",$L207*$M207)</f>
        <v/>
      </c>
    </row>
    <row r="208" customFormat="false" ht="15" hidden="false" customHeight="false" outlineLevel="0" collapsed="false">
      <c r="A208" s="6"/>
      <c r="B208" s="7"/>
      <c r="C208" s="6"/>
      <c r="D208" s="6"/>
      <c r="E208" s="6"/>
      <c r="F208" s="8"/>
      <c r="G208" s="9"/>
      <c r="H208" s="7"/>
      <c r="I208" s="6" t="str">
        <f aca="false">IF($A208="","",IFERROR(VLOOKUP($A208,Transcodifica!$A$5:$J$400,5,FALSE()),"NON MAPPATO"))</f>
        <v/>
      </c>
      <c r="J208" s="6" t="str">
        <f aca="false">IF($A208="","",IFERROR(VLOOKUP($A208,Transcodifica!$A$5:$J$400,7,FALSE()),""))</f>
        <v/>
      </c>
      <c r="K208" s="6" t="str">
        <f aca="false">IF($A208="","",IFERROR(VLOOKUP($A208,Transcodifica!$A$5:$J$400,8,FALSE()),""))</f>
        <v/>
      </c>
      <c r="L208" s="6" t="str">
        <f aca="false">IF($A208="","",IFERROR(VLOOKUP($A208,Transcodifica!$A$5:$J$400,9,FALSE()),""))</f>
        <v/>
      </c>
      <c r="M208" s="8" t="str">
        <f aca="false">IF($A208="","",IF($E208="APPROVATO",1,IF($E208="In svolgimento",IF($F208="",0,$F208),0)))</f>
        <v/>
      </c>
      <c r="N208" s="10" t="str">
        <f aca="false">IF(OR($A208="",$I208="NON MAPPATO",$I208=""),"",$L208*$M208)</f>
        <v/>
      </c>
    </row>
    <row r="209" customFormat="false" ht="15" hidden="false" customHeight="false" outlineLevel="0" collapsed="false">
      <c r="A209" s="6"/>
      <c r="B209" s="7"/>
      <c r="C209" s="6"/>
      <c r="D209" s="6"/>
      <c r="E209" s="6"/>
      <c r="F209" s="8"/>
      <c r="G209" s="9"/>
      <c r="H209" s="7"/>
      <c r="I209" s="6" t="str">
        <f aca="false">IF($A209="","",IFERROR(VLOOKUP($A209,Transcodifica!$A$5:$J$400,5,FALSE()),"NON MAPPATO"))</f>
        <v/>
      </c>
      <c r="J209" s="6" t="str">
        <f aca="false">IF($A209="","",IFERROR(VLOOKUP($A209,Transcodifica!$A$5:$J$400,7,FALSE()),""))</f>
        <v/>
      </c>
      <c r="K209" s="6" t="str">
        <f aca="false">IF($A209="","",IFERROR(VLOOKUP($A209,Transcodifica!$A$5:$J$400,8,FALSE()),""))</f>
        <v/>
      </c>
      <c r="L209" s="6" t="str">
        <f aca="false">IF($A209="","",IFERROR(VLOOKUP($A209,Transcodifica!$A$5:$J$400,9,FALSE()),""))</f>
        <v/>
      </c>
      <c r="M209" s="8" t="str">
        <f aca="false">IF($A209="","",IF($E209="APPROVATO",1,IF($E209="In svolgimento",IF($F209="",0,$F209),0)))</f>
        <v/>
      </c>
      <c r="N209" s="10" t="str">
        <f aca="false">IF(OR($A209="",$I209="NON MAPPATO",$I209=""),"",$L209*$M209)</f>
        <v/>
      </c>
    </row>
    <row r="210" customFormat="false" ht="15" hidden="false" customHeight="false" outlineLevel="0" collapsed="false">
      <c r="A210" s="6"/>
      <c r="B210" s="7"/>
      <c r="C210" s="6"/>
      <c r="D210" s="6"/>
      <c r="E210" s="6"/>
      <c r="F210" s="8"/>
      <c r="G210" s="9"/>
      <c r="H210" s="7"/>
      <c r="I210" s="6" t="str">
        <f aca="false">IF($A210="","",IFERROR(VLOOKUP($A210,Transcodifica!$A$5:$J$400,5,FALSE()),"NON MAPPATO"))</f>
        <v/>
      </c>
      <c r="J210" s="6" t="str">
        <f aca="false">IF($A210="","",IFERROR(VLOOKUP($A210,Transcodifica!$A$5:$J$400,7,FALSE()),""))</f>
        <v/>
      </c>
      <c r="K210" s="6" t="str">
        <f aca="false">IF($A210="","",IFERROR(VLOOKUP($A210,Transcodifica!$A$5:$J$400,8,FALSE()),""))</f>
        <v/>
      </c>
      <c r="L210" s="6" t="str">
        <f aca="false">IF($A210="","",IFERROR(VLOOKUP($A210,Transcodifica!$A$5:$J$400,9,FALSE()),""))</f>
        <v/>
      </c>
      <c r="M210" s="8" t="str">
        <f aca="false">IF($A210="","",IF($E210="APPROVATO",1,IF($E210="In svolgimento",IF($F210="",0,$F210),0)))</f>
        <v/>
      </c>
      <c r="N210" s="10" t="str">
        <f aca="false">IF(OR($A210="",$I210="NON MAPPATO",$I210=""),"",$L210*$M210)</f>
        <v/>
      </c>
    </row>
    <row r="211" customFormat="false" ht="15" hidden="false" customHeight="false" outlineLevel="0" collapsed="false">
      <c r="A211" s="6"/>
      <c r="B211" s="7"/>
      <c r="C211" s="6"/>
      <c r="D211" s="6"/>
      <c r="E211" s="6"/>
      <c r="F211" s="8"/>
      <c r="G211" s="9"/>
      <c r="H211" s="7"/>
      <c r="I211" s="6" t="str">
        <f aca="false">IF($A211="","",IFERROR(VLOOKUP($A211,Transcodifica!$A$5:$J$400,5,FALSE()),"NON MAPPATO"))</f>
        <v/>
      </c>
      <c r="J211" s="6" t="str">
        <f aca="false">IF($A211="","",IFERROR(VLOOKUP($A211,Transcodifica!$A$5:$J$400,7,FALSE()),""))</f>
        <v/>
      </c>
      <c r="K211" s="6" t="str">
        <f aca="false">IF($A211="","",IFERROR(VLOOKUP($A211,Transcodifica!$A$5:$J$400,8,FALSE()),""))</f>
        <v/>
      </c>
      <c r="L211" s="6" t="str">
        <f aca="false">IF($A211="","",IFERROR(VLOOKUP($A211,Transcodifica!$A$5:$J$400,9,FALSE()),""))</f>
        <v/>
      </c>
      <c r="M211" s="8" t="str">
        <f aca="false">IF($A211="","",IF($E211="APPROVATO",1,IF($E211="In svolgimento",IF($F211="",0,$F211),0)))</f>
        <v/>
      </c>
      <c r="N211" s="10" t="str">
        <f aca="false">IF(OR($A211="",$I211="NON MAPPATO",$I211=""),"",$L211*$M211)</f>
        <v/>
      </c>
    </row>
    <row r="212" customFormat="false" ht="15" hidden="false" customHeight="false" outlineLevel="0" collapsed="false">
      <c r="A212" s="6"/>
      <c r="B212" s="7"/>
      <c r="C212" s="6"/>
      <c r="D212" s="6"/>
      <c r="E212" s="6"/>
      <c r="F212" s="8"/>
      <c r="G212" s="9"/>
      <c r="H212" s="7"/>
      <c r="I212" s="6" t="str">
        <f aca="false">IF($A212="","",IFERROR(VLOOKUP($A212,Transcodifica!$A$5:$J$400,5,FALSE()),"NON MAPPATO"))</f>
        <v/>
      </c>
      <c r="J212" s="6" t="str">
        <f aca="false">IF($A212="","",IFERROR(VLOOKUP($A212,Transcodifica!$A$5:$J$400,7,FALSE()),""))</f>
        <v/>
      </c>
      <c r="K212" s="6" t="str">
        <f aca="false">IF($A212="","",IFERROR(VLOOKUP($A212,Transcodifica!$A$5:$J$400,8,FALSE()),""))</f>
        <v/>
      </c>
      <c r="L212" s="6" t="str">
        <f aca="false">IF($A212="","",IFERROR(VLOOKUP($A212,Transcodifica!$A$5:$J$400,9,FALSE()),""))</f>
        <v/>
      </c>
      <c r="M212" s="8" t="str">
        <f aca="false">IF($A212="","",IF($E212="APPROVATO",1,IF($E212="In svolgimento",IF($F212="",0,$F212),0)))</f>
        <v/>
      </c>
      <c r="N212" s="10" t="str">
        <f aca="false">IF(OR($A212="",$I212="NON MAPPATO",$I212=""),"",$L212*$M212)</f>
        <v/>
      </c>
    </row>
    <row r="213" customFormat="false" ht="15" hidden="false" customHeight="false" outlineLevel="0" collapsed="false">
      <c r="A213" s="6"/>
      <c r="B213" s="7"/>
      <c r="C213" s="6"/>
      <c r="D213" s="6"/>
      <c r="E213" s="6"/>
      <c r="F213" s="8"/>
      <c r="G213" s="9"/>
      <c r="H213" s="7"/>
      <c r="I213" s="6" t="str">
        <f aca="false">IF($A213="","",IFERROR(VLOOKUP($A213,Transcodifica!$A$5:$J$400,5,FALSE()),"NON MAPPATO"))</f>
        <v/>
      </c>
      <c r="J213" s="6" t="str">
        <f aca="false">IF($A213="","",IFERROR(VLOOKUP($A213,Transcodifica!$A$5:$J$400,7,FALSE()),""))</f>
        <v/>
      </c>
      <c r="K213" s="6" t="str">
        <f aca="false">IF($A213="","",IFERROR(VLOOKUP($A213,Transcodifica!$A$5:$J$400,8,FALSE()),""))</f>
        <v/>
      </c>
      <c r="L213" s="6" t="str">
        <f aca="false">IF($A213="","",IFERROR(VLOOKUP($A213,Transcodifica!$A$5:$J$400,9,FALSE()),""))</f>
        <v/>
      </c>
      <c r="M213" s="8" t="str">
        <f aca="false">IF($A213="","",IF($E213="APPROVATO",1,IF($E213="In svolgimento",IF($F213="",0,$F213),0)))</f>
        <v/>
      </c>
      <c r="N213" s="10" t="str">
        <f aca="false">IF(OR($A213="",$I213="NON MAPPATO",$I213=""),"",$L213*$M213)</f>
        <v/>
      </c>
    </row>
    <row r="214" customFormat="false" ht="15" hidden="false" customHeight="false" outlineLevel="0" collapsed="false">
      <c r="A214" s="6"/>
      <c r="B214" s="7"/>
      <c r="C214" s="6"/>
      <c r="D214" s="6"/>
      <c r="E214" s="6"/>
      <c r="F214" s="8"/>
      <c r="G214" s="9"/>
      <c r="H214" s="7"/>
      <c r="I214" s="6" t="str">
        <f aca="false">IF($A214="","",IFERROR(VLOOKUP($A214,Transcodifica!$A$5:$J$400,5,FALSE()),"NON MAPPATO"))</f>
        <v/>
      </c>
      <c r="J214" s="6" t="str">
        <f aca="false">IF($A214="","",IFERROR(VLOOKUP($A214,Transcodifica!$A$5:$J$400,7,FALSE()),""))</f>
        <v/>
      </c>
      <c r="K214" s="6" t="str">
        <f aca="false">IF($A214="","",IFERROR(VLOOKUP($A214,Transcodifica!$A$5:$J$400,8,FALSE()),""))</f>
        <v/>
      </c>
      <c r="L214" s="6" t="str">
        <f aca="false">IF($A214="","",IFERROR(VLOOKUP($A214,Transcodifica!$A$5:$J$400,9,FALSE()),""))</f>
        <v/>
      </c>
      <c r="M214" s="8" t="str">
        <f aca="false">IF($A214="","",IF($E214="APPROVATO",1,IF($E214="In svolgimento",IF($F214="",0,$F214),0)))</f>
        <v/>
      </c>
      <c r="N214" s="10" t="str">
        <f aca="false">IF(OR($A214="",$I214="NON MAPPATO",$I214=""),"",$L214*$M214)</f>
        <v/>
      </c>
    </row>
    <row r="215" customFormat="false" ht="15" hidden="false" customHeight="false" outlineLevel="0" collapsed="false">
      <c r="A215" s="6"/>
      <c r="B215" s="7"/>
      <c r="C215" s="6"/>
      <c r="D215" s="6"/>
      <c r="E215" s="6"/>
      <c r="F215" s="8"/>
      <c r="G215" s="9"/>
      <c r="H215" s="7"/>
      <c r="I215" s="6" t="str">
        <f aca="false">IF($A215="","",IFERROR(VLOOKUP($A215,Transcodifica!$A$5:$J$400,5,FALSE()),"NON MAPPATO"))</f>
        <v/>
      </c>
      <c r="J215" s="6" t="str">
        <f aca="false">IF($A215="","",IFERROR(VLOOKUP($A215,Transcodifica!$A$5:$J$400,7,FALSE()),""))</f>
        <v/>
      </c>
      <c r="K215" s="6" t="str">
        <f aca="false">IF($A215="","",IFERROR(VLOOKUP($A215,Transcodifica!$A$5:$J$400,8,FALSE()),""))</f>
        <v/>
      </c>
      <c r="L215" s="6" t="str">
        <f aca="false">IF($A215="","",IFERROR(VLOOKUP($A215,Transcodifica!$A$5:$J$400,9,FALSE()),""))</f>
        <v/>
      </c>
      <c r="M215" s="8" t="str">
        <f aca="false">IF($A215="","",IF($E215="APPROVATO",1,IF($E215="In svolgimento",IF($F215="",0,$F215),0)))</f>
        <v/>
      </c>
      <c r="N215" s="10" t="str">
        <f aca="false">IF(OR($A215="",$I215="NON MAPPATO",$I215=""),"",$L215*$M215)</f>
        <v/>
      </c>
    </row>
    <row r="216" customFormat="false" ht="15" hidden="false" customHeight="false" outlineLevel="0" collapsed="false">
      <c r="A216" s="6"/>
      <c r="B216" s="7"/>
      <c r="C216" s="6"/>
      <c r="D216" s="6"/>
      <c r="E216" s="6"/>
      <c r="F216" s="8"/>
      <c r="G216" s="9"/>
      <c r="H216" s="7"/>
      <c r="I216" s="6" t="str">
        <f aca="false">IF($A216="","",IFERROR(VLOOKUP($A216,Transcodifica!$A$5:$J$400,5,FALSE()),"NON MAPPATO"))</f>
        <v/>
      </c>
      <c r="J216" s="6" t="str">
        <f aca="false">IF($A216="","",IFERROR(VLOOKUP($A216,Transcodifica!$A$5:$J$400,7,FALSE()),""))</f>
        <v/>
      </c>
      <c r="K216" s="6" t="str">
        <f aca="false">IF($A216="","",IFERROR(VLOOKUP($A216,Transcodifica!$A$5:$J$400,8,FALSE()),""))</f>
        <v/>
      </c>
      <c r="L216" s="6" t="str">
        <f aca="false">IF($A216="","",IFERROR(VLOOKUP($A216,Transcodifica!$A$5:$J$400,9,FALSE()),""))</f>
        <v/>
      </c>
      <c r="M216" s="8" t="str">
        <f aca="false">IF($A216="","",IF($E216="APPROVATO",1,IF($E216="In svolgimento",IF($F216="",0,$F216),0)))</f>
        <v/>
      </c>
      <c r="N216" s="10" t="str">
        <f aca="false">IF(OR($A216="",$I216="NON MAPPATO",$I216=""),"",$L216*$M216)</f>
        <v/>
      </c>
    </row>
    <row r="217" customFormat="false" ht="15" hidden="false" customHeight="false" outlineLevel="0" collapsed="false">
      <c r="A217" s="6"/>
      <c r="B217" s="7"/>
      <c r="C217" s="6"/>
      <c r="D217" s="6"/>
      <c r="E217" s="6"/>
      <c r="F217" s="8"/>
      <c r="G217" s="9"/>
      <c r="H217" s="7"/>
      <c r="I217" s="6" t="str">
        <f aca="false">IF($A217="","",IFERROR(VLOOKUP($A217,Transcodifica!$A$5:$J$400,5,FALSE()),"NON MAPPATO"))</f>
        <v/>
      </c>
      <c r="J217" s="6" t="str">
        <f aca="false">IF($A217="","",IFERROR(VLOOKUP($A217,Transcodifica!$A$5:$J$400,7,FALSE()),""))</f>
        <v/>
      </c>
      <c r="K217" s="6" t="str">
        <f aca="false">IF($A217="","",IFERROR(VLOOKUP($A217,Transcodifica!$A$5:$J$400,8,FALSE()),""))</f>
        <v/>
      </c>
      <c r="L217" s="6" t="str">
        <f aca="false">IF($A217="","",IFERROR(VLOOKUP($A217,Transcodifica!$A$5:$J$400,9,FALSE()),""))</f>
        <v/>
      </c>
      <c r="M217" s="8" t="str">
        <f aca="false">IF($A217="","",IF($E217="APPROVATO",1,IF($E217="In svolgimento",IF($F217="",0,$F217),0)))</f>
        <v/>
      </c>
      <c r="N217" s="10" t="str">
        <f aca="false">IF(OR($A217="",$I217="NON MAPPATO",$I217=""),"",$L217*$M217)</f>
        <v/>
      </c>
    </row>
    <row r="218" customFormat="false" ht="15" hidden="false" customHeight="false" outlineLevel="0" collapsed="false">
      <c r="A218" s="6"/>
      <c r="B218" s="7"/>
      <c r="C218" s="6"/>
      <c r="D218" s="6"/>
      <c r="E218" s="6"/>
      <c r="F218" s="8"/>
      <c r="G218" s="9"/>
      <c r="H218" s="7"/>
      <c r="I218" s="6" t="str">
        <f aca="false">IF($A218="","",IFERROR(VLOOKUP($A218,Transcodifica!$A$5:$J$400,5,FALSE()),"NON MAPPATO"))</f>
        <v/>
      </c>
      <c r="J218" s="6" t="str">
        <f aca="false">IF($A218="","",IFERROR(VLOOKUP($A218,Transcodifica!$A$5:$J$400,7,FALSE()),""))</f>
        <v/>
      </c>
      <c r="K218" s="6" t="str">
        <f aca="false">IF($A218="","",IFERROR(VLOOKUP($A218,Transcodifica!$A$5:$J$400,8,FALSE()),""))</f>
        <v/>
      </c>
      <c r="L218" s="6" t="str">
        <f aca="false">IF($A218="","",IFERROR(VLOOKUP($A218,Transcodifica!$A$5:$J$400,9,FALSE()),""))</f>
        <v/>
      </c>
      <c r="M218" s="8" t="str">
        <f aca="false">IF($A218="","",IF($E218="APPROVATO",1,IF($E218="In svolgimento",IF($F218="",0,$F218),0)))</f>
        <v/>
      </c>
      <c r="N218" s="10" t="str">
        <f aca="false">IF(OR($A218="",$I218="NON MAPPATO",$I218=""),"",$L218*$M218)</f>
        <v/>
      </c>
    </row>
    <row r="219" customFormat="false" ht="15" hidden="false" customHeight="false" outlineLevel="0" collapsed="false">
      <c r="A219" s="6"/>
      <c r="B219" s="7"/>
      <c r="C219" s="6"/>
      <c r="D219" s="6"/>
      <c r="E219" s="6"/>
      <c r="F219" s="8"/>
      <c r="G219" s="9"/>
      <c r="H219" s="7"/>
      <c r="I219" s="6" t="str">
        <f aca="false">IF($A219="","",IFERROR(VLOOKUP($A219,Transcodifica!$A$5:$J$400,5,FALSE()),"NON MAPPATO"))</f>
        <v/>
      </c>
      <c r="J219" s="6" t="str">
        <f aca="false">IF($A219="","",IFERROR(VLOOKUP($A219,Transcodifica!$A$5:$J$400,7,FALSE()),""))</f>
        <v/>
      </c>
      <c r="K219" s="6" t="str">
        <f aca="false">IF($A219="","",IFERROR(VLOOKUP($A219,Transcodifica!$A$5:$J$400,8,FALSE()),""))</f>
        <v/>
      </c>
      <c r="L219" s="6" t="str">
        <f aca="false">IF($A219="","",IFERROR(VLOOKUP($A219,Transcodifica!$A$5:$J$400,9,FALSE()),""))</f>
        <v/>
      </c>
      <c r="M219" s="8" t="str">
        <f aca="false">IF($A219="","",IF($E219="APPROVATO",1,IF($E219="In svolgimento",IF($F219="",0,$F219),0)))</f>
        <v/>
      </c>
      <c r="N219" s="10" t="str">
        <f aca="false">IF(OR($A219="",$I219="NON MAPPATO",$I219=""),"",$L219*$M219)</f>
        <v/>
      </c>
    </row>
    <row r="220" customFormat="false" ht="15" hidden="false" customHeight="false" outlineLevel="0" collapsed="false">
      <c r="A220" s="6"/>
      <c r="B220" s="7"/>
      <c r="C220" s="6"/>
      <c r="D220" s="6"/>
      <c r="E220" s="6"/>
      <c r="F220" s="8"/>
      <c r="G220" s="9"/>
      <c r="H220" s="7"/>
      <c r="I220" s="6" t="str">
        <f aca="false">IF($A220="","",IFERROR(VLOOKUP($A220,Transcodifica!$A$5:$J$400,5,FALSE()),"NON MAPPATO"))</f>
        <v/>
      </c>
      <c r="J220" s="6" t="str">
        <f aca="false">IF($A220="","",IFERROR(VLOOKUP($A220,Transcodifica!$A$5:$J$400,7,FALSE()),""))</f>
        <v/>
      </c>
      <c r="K220" s="6" t="str">
        <f aca="false">IF($A220="","",IFERROR(VLOOKUP($A220,Transcodifica!$A$5:$J$400,8,FALSE()),""))</f>
        <v/>
      </c>
      <c r="L220" s="6" t="str">
        <f aca="false">IF($A220="","",IFERROR(VLOOKUP($A220,Transcodifica!$A$5:$J$400,9,FALSE()),""))</f>
        <v/>
      </c>
      <c r="M220" s="8" t="str">
        <f aca="false">IF($A220="","",IF($E220="APPROVATO",1,IF($E220="In svolgimento",IF($F220="",0,$F220),0)))</f>
        <v/>
      </c>
      <c r="N220" s="10" t="str">
        <f aca="false">IF(OR($A220="",$I220="NON MAPPATO",$I220=""),"",$L220*$M220)</f>
        <v/>
      </c>
    </row>
    <row r="221" customFormat="false" ht="15" hidden="false" customHeight="false" outlineLevel="0" collapsed="false">
      <c r="A221" s="6"/>
      <c r="B221" s="7"/>
      <c r="C221" s="6"/>
      <c r="D221" s="6"/>
      <c r="E221" s="6"/>
      <c r="F221" s="8"/>
      <c r="G221" s="9"/>
      <c r="H221" s="7"/>
      <c r="I221" s="6" t="str">
        <f aca="false">IF($A221="","",IFERROR(VLOOKUP($A221,Transcodifica!$A$5:$J$400,5,FALSE()),"NON MAPPATO"))</f>
        <v/>
      </c>
      <c r="J221" s="6" t="str">
        <f aca="false">IF($A221="","",IFERROR(VLOOKUP($A221,Transcodifica!$A$5:$J$400,7,FALSE()),""))</f>
        <v/>
      </c>
      <c r="K221" s="6" t="str">
        <f aca="false">IF($A221="","",IFERROR(VLOOKUP($A221,Transcodifica!$A$5:$J$400,8,FALSE()),""))</f>
        <v/>
      </c>
      <c r="L221" s="6" t="str">
        <f aca="false">IF($A221="","",IFERROR(VLOOKUP($A221,Transcodifica!$A$5:$J$400,9,FALSE()),""))</f>
        <v/>
      </c>
      <c r="M221" s="8" t="str">
        <f aca="false">IF($A221="","",IF($E221="APPROVATO",1,IF($E221="In svolgimento",IF($F221="",0,$F221),0)))</f>
        <v/>
      </c>
      <c r="N221" s="10" t="str">
        <f aca="false">IF(OR($A221="",$I221="NON MAPPATO",$I221=""),"",$L221*$M221)</f>
        <v/>
      </c>
    </row>
    <row r="222" customFormat="false" ht="15" hidden="false" customHeight="false" outlineLevel="0" collapsed="false">
      <c r="A222" s="6"/>
      <c r="B222" s="7"/>
      <c r="C222" s="6"/>
      <c r="D222" s="6"/>
      <c r="E222" s="6"/>
      <c r="F222" s="8"/>
      <c r="G222" s="9"/>
      <c r="H222" s="7"/>
      <c r="I222" s="6" t="str">
        <f aca="false">IF($A222="","",IFERROR(VLOOKUP($A222,Transcodifica!$A$5:$J$400,5,FALSE()),"NON MAPPATO"))</f>
        <v/>
      </c>
      <c r="J222" s="6" t="str">
        <f aca="false">IF($A222="","",IFERROR(VLOOKUP($A222,Transcodifica!$A$5:$J$400,7,FALSE()),""))</f>
        <v/>
      </c>
      <c r="K222" s="6" t="str">
        <f aca="false">IF($A222="","",IFERROR(VLOOKUP($A222,Transcodifica!$A$5:$J$400,8,FALSE()),""))</f>
        <v/>
      </c>
      <c r="L222" s="6" t="str">
        <f aca="false">IF($A222="","",IFERROR(VLOOKUP($A222,Transcodifica!$A$5:$J$400,9,FALSE()),""))</f>
        <v/>
      </c>
      <c r="M222" s="8" t="str">
        <f aca="false">IF($A222="","",IF($E222="APPROVATO",1,IF($E222="In svolgimento",IF($F222="",0,$F222),0)))</f>
        <v/>
      </c>
      <c r="N222" s="10" t="str">
        <f aca="false">IF(OR($A222="",$I222="NON MAPPATO",$I222=""),"",$L222*$M222)</f>
        <v/>
      </c>
    </row>
    <row r="223" customFormat="false" ht="15" hidden="false" customHeight="false" outlineLevel="0" collapsed="false">
      <c r="A223" s="6"/>
      <c r="B223" s="7"/>
      <c r="C223" s="6"/>
      <c r="D223" s="6"/>
      <c r="E223" s="6"/>
      <c r="F223" s="8"/>
      <c r="G223" s="9"/>
      <c r="H223" s="7"/>
      <c r="I223" s="6" t="str">
        <f aca="false">IF($A223="","",IFERROR(VLOOKUP($A223,Transcodifica!$A$5:$J$400,5,FALSE()),"NON MAPPATO"))</f>
        <v/>
      </c>
      <c r="J223" s="6" t="str">
        <f aca="false">IF($A223="","",IFERROR(VLOOKUP($A223,Transcodifica!$A$5:$J$400,7,FALSE()),""))</f>
        <v/>
      </c>
      <c r="K223" s="6" t="str">
        <f aca="false">IF($A223="","",IFERROR(VLOOKUP($A223,Transcodifica!$A$5:$J$400,8,FALSE()),""))</f>
        <v/>
      </c>
      <c r="L223" s="6" t="str">
        <f aca="false">IF($A223="","",IFERROR(VLOOKUP($A223,Transcodifica!$A$5:$J$400,9,FALSE()),""))</f>
        <v/>
      </c>
      <c r="M223" s="8" t="str">
        <f aca="false">IF($A223="","",IF($E223="APPROVATO",1,IF($E223="In svolgimento",IF($F223="",0,$F223),0)))</f>
        <v/>
      </c>
      <c r="N223" s="10" t="str">
        <f aca="false">IF(OR($A223="",$I223="NON MAPPATO",$I223=""),"",$L223*$M223)</f>
        <v/>
      </c>
    </row>
    <row r="224" customFormat="false" ht="15" hidden="false" customHeight="false" outlineLevel="0" collapsed="false">
      <c r="A224" s="6"/>
      <c r="B224" s="7"/>
      <c r="C224" s="6"/>
      <c r="D224" s="6"/>
      <c r="E224" s="6"/>
      <c r="F224" s="8"/>
      <c r="G224" s="9"/>
      <c r="H224" s="7"/>
      <c r="I224" s="6" t="str">
        <f aca="false">IF($A224="","",IFERROR(VLOOKUP($A224,Transcodifica!$A$5:$J$400,5,FALSE()),"NON MAPPATO"))</f>
        <v/>
      </c>
      <c r="J224" s="6" t="str">
        <f aca="false">IF($A224="","",IFERROR(VLOOKUP($A224,Transcodifica!$A$5:$J$400,7,FALSE()),""))</f>
        <v/>
      </c>
      <c r="K224" s="6" t="str">
        <f aca="false">IF($A224="","",IFERROR(VLOOKUP($A224,Transcodifica!$A$5:$J$400,8,FALSE()),""))</f>
        <v/>
      </c>
      <c r="L224" s="6" t="str">
        <f aca="false">IF($A224="","",IFERROR(VLOOKUP($A224,Transcodifica!$A$5:$J$400,9,FALSE()),""))</f>
        <v/>
      </c>
      <c r="M224" s="8" t="str">
        <f aca="false">IF($A224="","",IF($E224="APPROVATO",1,IF($E224="In svolgimento",IF($F224="",0,$F224),0)))</f>
        <v/>
      </c>
      <c r="N224" s="10" t="str">
        <f aca="false">IF(OR($A224="",$I224="NON MAPPATO",$I224=""),"",$L224*$M224)</f>
        <v/>
      </c>
    </row>
    <row r="225" customFormat="false" ht="15" hidden="false" customHeight="false" outlineLevel="0" collapsed="false">
      <c r="A225" s="6"/>
      <c r="B225" s="7"/>
      <c r="C225" s="6"/>
      <c r="D225" s="6"/>
      <c r="E225" s="6"/>
      <c r="F225" s="8"/>
      <c r="G225" s="9"/>
      <c r="H225" s="7"/>
      <c r="I225" s="6" t="str">
        <f aca="false">IF($A225="","",IFERROR(VLOOKUP($A225,Transcodifica!$A$5:$J$400,5,FALSE()),"NON MAPPATO"))</f>
        <v/>
      </c>
      <c r="J225" s="6" t="str">
        <f aca="false">IF($A225="","",IFERROR(VLOOKUP($A225,Transcodifica!$A$5:$J$400,7,FALSE()),""))</f>
        <v/>
      </c>
      <c r="K225" s="6" t="str">
        <f aca="false">IF($A225="","",IFERROR(VLOOKUP($A225,Transcodifica!$A$5:$J$400,8,FALSE()),""))</f>
        <v/>
      </c>
      <c r="L225" s="6" t="str">
        <f aca="false">IF($A225="","",IFERROR(VLOOKUP($A225,Transcodifica!$A$5:$J$400,9,FALSE()),""))</f>
        <v/>
      </c>
      <c r="M225" s="8" t="str">
        <f aca="false">IF($A225="","",IF($E225="APPROVATO",1,IF($E225="In svolgimento",IF($F225="",0,$F225),0)))</f>
        <v/>
      </c>
      <c r="N225" s="10" t="str">
        <f aca="false">IF(OR($A225="",$I225="NON MAPPATO",$I225=""),"",$L225*$M225)</f>
        <v/>
      </c>
    </row>
    <row r="226" customFormat="false" ht="15" hidden="false" customHeight="false" outlineLevel="0" collapsed="false">
      <c r="A226" s="6"/>
      <c r="B226" s="7"/>
      <c r="C226" s="6"/>
      <c r="D226" s="6"/>
      <c r="E226" s="6"/>
      <c r="F226" s="8"/>
      <c r="G226" s="9"/>
      <c r="H226" s="7"/>
      <c r="I226" s="6" t="str">
        <f aca="false">IF($A226="","",IFERROR(VLOOKUP($A226,Transcodifica!$A$5:$J$400,5,FALSE()),"NON MAPPATO"))</f>
        <v/>
      </c>
      <c r="J226" s="6" t="str">
        <f aca="false">IF($A226="","",IFERROR(VLOOKUP($A226,Transcodifica!$A$5:$J$400,7,FALSE()),""))</f>
        <v/>
      </c>
      <c r="K226" s="6" t="str">
        <f aca="false">IF($A226="","",IFERROR(VLOOKUP($A226,Transcodifica!$A$5:$J$400,8,FALSE()),""))</f>
        <v/>
      </c>
      <c r="L226" s="6" t="str">
        <f aca="false">IF($A226="","",IFERROR(VLOOKUP($A226,Transcodifica!$A$5:$J$400,9,FALSE()),""))</f>
        <v/>
      </c>
      <c r="M226" s="8" t="str">
        <f aca="false">IF($A226="","",IF($E226="APPROVATO",1,IF($E226="In svolgimento",IF($F226="",0,$F226),0)))</f>
        <v/>
      </c>
      <c r="N226" s="10" t="str">
        <f aca="false">IF(OR($A226="",$I226="NON MAPPATO",$I226=""),"",$L226*$M226)</f>
        <v/>
      </c>
    </row>
    <row r="227" customFormat="false" ht="15" hidden="false" customHeight="false" outlineLevel="0" collapsed="false">
      <c r="A227" s="6"/>
      <c r="B227" s="7"/>
      <c r="C227" s="6"/>
      <c r="D227" s="6"/>
      <c r="E227" s="6"/>
      <c r="F227" s="8"/>
      <c r="G227" s="9"/>
      <c r="H227" s="7"/>
      <c r="I227" s="6" t="str">
        <f aca="false">IF($A227="","",IFERROR(VLOOKUP($A227,Transcodifica!$A$5:$J$400,5,FALSE()),"NON MAPPATO"))</f>
        <v/>
      </c>
      <c r="J227" s="6" t="str">
        <f aca="false">IF($A227="","",IFERROR(VLOOKUP($A227,Transcodifica!$A$5:$J$400,7,FALSE()),""))</f>
        <v/>
      </c>
      <c r="K227" s="6" t="str">
        <f aca="false">IF($A227="","",IFERROR(VLOOKUP($A227,Transcodifica!$A$5:$J$400,8,FALSE()),""))</f>
        <v/>
      </c>
      <c r="L227" s="6" t="str">
        <f aca="false">IF($A227="","",IFERROR(VLOOKUP($A227,Transcodifica!$A$5:$J$400,9,FALSE()),""))</f>
        <v/>
      </c>
      <c r="M227" s="8" t="str">
        <f aca="false">IF($A227="","",IF($E227="APPROVATO",1,IF($E227="In svolgimento",IF($F227="",0,$F227),0)))</f>
        <v/>
      </c>
      <c r="N227" s="10" t="str">
        <f aca="false">IF(OR($A227="",$I227="NON MAPPATO",$I227=""),"",$L227*$M227)</f>
        <v/>
      </c>
    </row>
    <row r="228" customFormat="false" ht="15" hidden="false" customHeight="false" outlineLevel="0" collapsed="false">
      <c r="A228" s="6"/>
      <c r="B228" s="7"/>
      <c r="C228" s="6"/>
      <c r="D228" s="6"/>
      <c r="E228" s="6"/>
      <c r="F228" s="8"/>
      <c r="G228" s="9"/>
      <c r="H228" s="7"/>
      <c r="I228" s="6" t="str">
        <f aca="false">IF($A228="","",IFERROR(VLOOKUP($A228,Transcodifica!$A$5:$J$400,5,FALSE()),"NON MAPPATO"))</f>
        <v/>
      </c>
      <c r="J228" s="6" t="str">
        <f aca="false">IF($A228="","",IFERROR(VLOOKUP($A228,Transcodifica!$A$5:$J$400,7,FALSE()),""))</f>
        <v/>
      </c>
      <c r="K228" s="6" t="str">
        <f aca="false">IF($A228="","",IFERROR(VLOOKUP($A228,Transcodifica!$A$5:$J$400,8,FALSE()),""))</f>
        <v/>
      </c>
      <c r="L228" s="6" t="str">
        <f aca="false">IF($A228="","",IFERROR(VLOOKUP($A228,Transcodifica!$A$5:$J$400,9,FALSE()),""))</f>
        <v/>
      </c>
      <c r="M228" s="8" t="str">
        <f aca="false">IF($A228="","",IF($E228="APPROVATO",1,IF($E228="In svolgimento",IF($F228="",0,$F228),0)))</f>
        <v/>
      </c>
      <c r="N228" s="10" t="str">
        <f aca="false">IF(OR($A228="",$I228="NON MAPPATO",$I228=""),"",$L228*$M228)</f>
        <v/>
      </c>
    </row>
    <row r="229" customFormat="false" ht="15" hidden="false" customHeight="false" outlineLevel="0" collapsed="false">
      <c r="A229" s="6"/>
      <c r="B229" s="7"/>
      <c r="C229" s="6"/>
      <c r="D229" s="6"/>
      <c r="E229" s="6"/>
      <c r="F229" s="8"/>
      <c r="G229" s="9"/>
      <c r="H229" s="7"/>
      <c r="I229" s="6" t="str">
        <f aca="false">IF($A229="","",IFERROR(VLOOKUP($A229,Transcodifica!$A$5:$J$400,5,FALSE()),"NON MAPPATO"))</f>
        <v/>
      </c>
      <c r="J229" s="6" t="str">
        <f aca="false">IF($A229="","",IFERROR(VLOOKUP($A229,Transcodifica!$A$5:$J$400,7,FALSE()),""))</f>
        <v/>
      </c>
      <c r="K229" s="6" t="str">
        <f aca="false">IF($A229="","",IFERROR(VLOOKUP($A229,Transcodifica!$A$5:$J$400,8,FALSE()),""))</f>
        <v/>
      </c>
      <c r="L229" s="6" t="str">
        <f aca="false">IF($A229="","",IFERROR(VLOOKUP($A229,Transcodifica!$A$5:$J$400,9,FALSE()),""))</f>
        <v/>
      </c>
      <c r="M229" s="8" t="str">
        <f aca="false">IF($A229="","",IF($E229="APPROVATO",1,IF($E229="In svolgimento",IF($F229="",0,$F229),0)))</f>
        <v/>
      </c>
      <c r="N229" s="10" t="str">
        <f aca="false">IF(OR($A229="",$I229="NON MAPPATO",$I229=""),"",$L229*$M229)</f>
        <v/>
      </c>
    </row>
    <row r="230" customFormat="false" ht="15" hidden="false" customHeight="false" outlineLevel="0" collapsed="false">
      <c r="A230" s="6"/>
      <c r="B230" s="7"/>
      <c r="C230" s="6"/>
      <c r="D230" s="6"/>
      <c r="E230" s="6"/>
      <c r="F230" s="8"/>
      <c r="G230" s="9"/>
      <c r="H230" s="7"/>
      <c r="I230" s="6" t="str">
        <f aca="false">IF($A230="","",IFERROR(VLOOKUP($A230,Transcodifica!$A$5:$J$400,5,FALSE()),"NON MAPPATO"))</f>
        <v/>
      </c>
      <c r="J230" s="6" t="str">
        <f aca="false">IF($A230="","",IFERROR(VLOOKUP($A230,Transcodifica!$A$5:$J$400,7,FALSE()),""))</f>
        <v/>
      </c>
      <c r="K230" s="6" t="str">
        <f aca="false">IF($A230="","",IFERROR(VLOOKUP($A230,Transcodifica!$A$5:$J$400,8,FALSE()),""))</f>
        <v/>
      </c>
      <c r="L230" s="6" t="str">
        <f aca="false">IF($A230="","",IFERROR(VLOOKUP($A230,Transcodifica!$A$5:$J$400,9,FALSE()),""))</f>
        <v/>
      </c>
      <c r="M230" s="8" t="str">
        <f aca="false">IF($A230="","",IF($E230="APPROVATO",1,IF($E230="In svolgimento",IF($F230="",0,$F230),0)))</f>
        <v/>
      </c>
      <c r="N230" s="10" t="str">
        <f aca="false">IF(OR($A230="",$I230="NON MAPPATO",$I230=""),"",$L230*$M230)</f>
        <v/>
      </c>
    </row>
    <row r="231" customFormat="false" ht="15" hidden="false" customHeight="false" outlineLevel="0" collapsed="false">
      <c r="A231" s="6"/>
      <c r="B231" s="7"/>
      <c r="C231" s="6"/>
      <c r="D231" s="6"/>
      <c r="E231" s="6"/>
      <c r="F231" s="8"/>
      <c r="G231" s="9"/>
      <c r="H231" s="7"/>
      <c r="I231" s="6" t="str">
        <f aca="false">IF($A231="","",IFERROR(VLOOKUP($A231,Transcodifica!$A$5:$J$400,5,FALSE()),"NON MAPPATO"))</f>
        <v/>
      </c>
      <c r="J231" s="6" t="str">
        <f aca="false">IF($A231="","",IFERROR(VLOOKUP($A231,Transcodifica!$A$5:$J$400,7,FALSE()),""))</f>
        <v/>
      </c>
      <c r="K231" s="6" t="str">
        <f aca="false">IF($A231="","",IFERROR(VLOOKUP($A231,Transcodifica!$A$5:$J$400,8,FALSE()),""))</f>
        <v/>
      </c>
      <c r="L231" s="6" t="str">
        <f aca="false">IF($A231="","",IFERROR(VLOOKUP($A231,Transcodifica!$A$5:$J$400,9,FALSE()),""))</f>
        <v/>
      </c>
      <c r="M231" s="8" t="str">
        <f aca="false">IF($A231="","",IF($E231="APPROVATO",1,IF($E231="In svolgimento",IF($F231="",0,$F231),0)))</f>
        <v/>
      </c>
      <c r="N231" s="10" t="str">
        <f aca="false">IF(OR($A231="",$I231="NON MAPPATO",$I231=""),"",$L231*$M231)</f>
        <v/>
      </c>
    </row>
    <row r="232" customFormat="false" ht="15" hidden="false" customHeight="false" outlineLevel="0" collapsed="false">
      <c r="A232" s="6"/>
      <c r="B232" s="7"/>
      <c r="C232" s="6"/>
      <c r="D232" s="6"/>
      <c r="E232" s="6"/>
      <c r="F232" s="8"/>
      <c r="G232" s="9"/>
      <c r="H232" s="7"/>
      <c r="I232" s="6" t="str">
        <f aca="false">IF($A232="","",IFERROR(VLOOKUP($A232,Transcodifica!$A$5:$J$400,5,FALSE()),"NON MAPPATO"))</f>
        <v/>
      </c>
      <c r="J232" s="6" t="str">
        <f aca="false">IF($A232="","",IFERROR(VLOOKUP($A232,Transcodifica!$A$5:$J$400,7,FALSE()),""))</f>
        <v/>
      </c>
      <c r="K232" s="6" t="str">
        <f aca="false">IF($A232="","",IFERROR(VLOOKUP($A232,Transcodifica!$A$5:$J$400,8,FALSE()),""))</f>
        <v/>
      </c>
      <c r="L232" s="6" t="str">
        <f aca="false">IF($A232="","",IFERROR(VLOOKUP($A232,Transcodifica!$A$5:$J$400,9,FALSE()),""))</f>
        <v/>
      </c>
      <c r="M232" s="8" t="str">
        <f aca="false">IF($A232="","",IF($E232="APPROVATO",1,IF($E232="In svolgimento",IF($F232="",0,$F232),0)))</f>
        <v/>
      </c>
      <c r="N232" s="10" t="str">
        <f aca="false">IF(OR($A232="",$I232="NON MAPPATO",$I232=""),"",$L232*$M232)</f>
        <v/>
      </c>
    </row>
    <row r="233" customFormat="false" ht="15" hidden="false" customHeight="false" outlineLevel="0" collapsed="false">
      <c r="A233" s="6"/>
      <c r="B233" s="7"/>
      <c r="C233" s="6"/>
      <c r="D233" s="6"/>
      <c r="E233" s="6"/>
      <c r="F233" s="8"/>
      <c r="G233" s="9"/>
      <c r="H233" s="7"/>
      <c r="I233" s="6" t="str">
        <f aca="false">IF($A233="","",IFERROR(VLOOKUP($A233,Transcodifica!$A$5:$J$400,5,FALSE()),"NON MAPPATO"))</f>
        <v/>
      </c>
      <c r="J233" s="6" t="str">
        <f aca="false">IF($A233="","",IFERROR(VLOOKUP($A233,Transcodifica!$A$5:$J$400,7,FALSE()),""))</f>
        <v/>
      </c>
      <c r="K233" s="6" t="str">
        <f aca="false">IF($A233="","",IFERROR(VLOOKUP($A233,Transcodifica!$A$5:$J$400,8,FALSE()),""))</f>
        <v/>
      </c>
      <c r="L233" s="6" t="str">
        <f aca="false">IF($A233="","",IFERROR(VLOOKUP($A233,Transcodifica!$A$5:$J$400,9,FALSE()),""))</f>
        <v/>
      </c>
      <c r="M233" s="8" t="str">
        <f aca="false">IF($A233="","",IF($E233="APPROVATO",1,IF($E233="In svolgimento",IF($F233="",0,$F233),0)))</f>
        <v/>
      </c>
      <c r="N233" s="10" t="str">
        <f aca="false">IF(OR($A233="",$I233="NON MAPPATO",$I233=""),"",$L233*$M233)</f>
        <v/>
      </c>
    </row>
    <row r="234" customFormat="false" ht="15" hidden="false" customHeight="false" outlineLevel="0" collapsed="false">
      <c r="A234" s="6"/>
      <c r="B234" s="7"/>
      <c r="C234" s="6"/>
      <c r="D234" s="6"/>
      <c r="E234" s="6"/>
      <c r="F234" s="8"/>
      <c r="G234" s="9"/>
      <c r="H234" s="7"/>
      <c r="I234" s="6" t="str">
        <f aca="false">IF($A234="","",IFERROR(VLOOKUP($A234,Transcodifica!$A$5:$J$400,5,FALSE()),"NON MAPPATO"))</f>
        <v/>
      </c>
      <c r="J234" s="6" t="str">
        <f aca="false">IF($A234="","",IFERROR(VLOOKUP($A234,Transcodifica!$A$5:$J$400,7,FALSE()),""))</f>
        <v/>
      </c>
      <c r="K234" s="6" t="str">
        <f aca="false">IF($A234="","",IFERROR(VLOOKUP($A234,Transcodifica!$A$5:$J$400,8,FALSE()),""))</f>
        <v/>
      </c>
      <c r="L234" s="6" t="str">
        <f aca="false">IF($A234="","",IFERROR(VLOOKUP($A234,Transcodifica!$A$5:$J$400,9,FALSE()),""))</f>
        <v/>
      </c>
      <c r="M234" s="8" t="str">
        <f aca="false">IF($A234="","",IF($E234="APPROVATO",1,IF($E234="In svolgimento",IF($F234="",0,$F234),0)))</f>
        <v/>
      </c>
      <c r="N234" s="10" t="str">
        <f aca="false">IF(OR($A234="",$I234="NON MAPPATO",$I234=""),"",$L234*$M234)</f>
        <v/>
      </c>
    </row>
    <row r="235" customFormat="false" ht="15" hidden="false" customHeight="false" outlineLevel="0" collapsed="false">
      <c r="A235" s="6"/>
      <c r="B235" s="7"/>
      <c r="C235" s="6"/>
      <c r="D235" s="6"/>
      <c r="E235" s="6"/>
      <c r="F235" s="8"/>
      <c r="G235" s="9"/>
      <c r="H235" s="7"/>
      <c r="I235" s="6" t="str">
        <f aca="false">IF($A235="","",IFERROR(VLOOKUP($A235,Transcodifica!$A$5:$J$400,5,FALSE()),"NON MAPPATO"))</f>
        <v/>
      </c>
      <c r="J235" s="6" t="str">
        <f aca="false">IF($A235="","",IFERROR(VLOOKUP($A235,Transcodifica!$A$5:$J$400,7,FALSE()),""))</f>
        <v/>
      </c>
      <c r="K235" s="6" t="str">
        <f aca="false">IF($A235="","",IFERROR(VLOOKUP($A235,Transcodifica!$A$5:$J$400,8,FALSE()),""))</f>
        <v/>
      </c>
      <c r="L235" s="6" t="str">
        <f aca="false">IF($A235="","",IFERROR(VLOOKUP($A235,Transcodifica!$A$5:$J$400,9,FALSE()),""))</f>
        <v/>
      </c>
      <c r="M235" s="8" t="str">
        <f aca="false">IF($A235="","",IF($E235="APPROVATO",1,IF($E235="In svolgimento",IF($F235="",0,$F235),0)))</f>
        <v/>
      </c>
      <c r="N235" s="10" t="str">
        <f aca="false">IF(OR($A235="",$I235="NON MAPPATO",$I235=""),"",$L235*$M235)</f>
        <v/>
      </c>
    </row>
    <row r="236" customFormat="false" ht="15" hidden="false" customHeight="false" outlineLevel="0" collapsed="false">
      <c r="A236" s="6"/>
      <c r="B236" s="7"/>
      <c r="C236" s="6"/>
      <c r="D236" s="6"/>
      <c r="E236" s="6"/>
      <c r="F236" s="8"/>
      <c r="G236" s="9"/>
      <c r="H236" s="7"/>
      <c r="I236" s="6" t="str">
        <f aca="false">IF($A236="","",IFERROR(VLOOKUP($A236,Transcodifica!$A$5:$J$400,5,FALSE()),"NON MAPPATO"))</f>
        <v/>
      </c>
      <c r="J236" s="6" t="str">
        <f aca="false">IF($A236="","",IFERROR(VLOOKUP($A236,Transcodifica!$A$5:$J$400,7,FALSE()),""))</f>
        <v/>
      </c>
      <c r="K236" s="6" t="str">
        <f aca="false">IF($A236="","",IFERROR(VLOOKUP($A236,Transcodifica!$A$5:$J$400,8,FALSE()),""))</f>
        <v/>
      </c>
      <c r="L236" s="6" t="str">
        <f aca="false">IF($A236="","",IFERROR(VLOOKUP($A236,Transcodifica!$A$5:$J$400,9,FALSE()),""))</f>
        <v/>
      </c>
      <c r="M236" s="8" t="str">
        <f aca="false">IF($A236="","",IF($E236="APPROVATO",1,IF($E236="In svolgimento",IF($F236="",0,$F236),0)))</f>
        <v/>
      </c>
      <c r="N236" s="10" t="str">
        <f aca="false">IF(OR($A236="",$I236="NON MAPPATO",$I236=""),"",$L236*$M236)</f>
        <v/>
      </c>
    </row>
    <row r="237" customFormat="false" ht="15" hidden="false" customHeight="false" outlineLevel="0" collapsed="false">
      <c r="A237" s="6"/>
      <c r="B237" s="7"/>
      <c r="C237" s="6"/>
      <c r="D237" s="6"/>
      <c r="E237" s="6"/>
      <c r="F237" s="8"/>
      <c r="G237" s="9"/>
      <c r="H237" s="7"/>
      <c r="I237" s="6" t="str">
        <f aca="false">IF($A237="","",IFERROR(VLOOKUP($A237,Transcodifica!$A$5:$J$400,5,FALSE()),"NON MAPPATO"))</f>
        <v/>
      </c>
      <c r="J237" s="6" t="str">
        <f aca="false">IF($A237="","",IFERROR(VLOOKUP($A237,Transcodifica!$A$5:$J$400,7,FALSE()),""))</f>
        <v/>
      </c>
      <c r="K237" s="6" t="str">
        <f aca="false">IF($A237="","",IFERROR(VLOOKUP($A237,Transcodifica!$A$5:$J$400,8,FALSE()),""))</f>
        <v/>
      </c>
      <c r="L237" s="6" t="str">
        <f aca="false">IF($A237="","",IFERROR(VLOOKUP($A237,Transcodifica!$A$5:$J$400,9,FALSE()),""))</f>
        <v/>
      </c>
      <c r="M237" s="8" t="str">
        <f aca="false">IF($A237="","",IF($E237="APPROVATO",1,IF($E237="In svolgimento",IF($F237="",0,$F237),0)))</f>
        <v/>
      </c>
      <c r="N237" s="10" t="str">
        <f aca="false">IF(OR($A237="",$I237="NON MAPPATO",$I237=""),"",$L237*$M237)</f>
        <v/>
      </c>
    </row>
    <row r="238" customFormat="false" ht="15" hidden="false" customHeight="false" outlineLevel="0" collapsed="false">
      <c r="A238" s="6"/>
      <c r="B238" s="7"/>
      <c r="C238" s="6"/>
      <c r="D238" s="6"/>
      <c r="E238" s="6"/>
      <c r="F238" s="8"/>
      <c r="G238" s="9"/>
      <c r="H238" s="7"/>
      <c r="I238" s="6" t="str">
        <f aca="false">IF($A238="","",IFERROR(VLOOKUP($A238,Transcodifica!$A$5:$J$400,5,FALSE()),"NON MAPPATO"))</f>
        <v/>
      </c>
      <c r="J238" s="6" t="str">
        <f aca="false">IF($A238="","",IFERROR(VLOOKUP($A238,Transcodifica!$A$5:$J$400,7,FALSE()),""))</f>
        <v/>
      </c>
      <c r="K238" s="6" t="str">
        <f aca="false">IF($A238="","",IFERROR(VLOOKUP($A238,Transcodifica!$A$5:$J$400,8,FALSE()),""))</f>
        <v/>
      </c>
      <c r="L238" s="6" t="str">
        <f aca="false">IF($A238="","",IFERROR(VLOOKUP($A238,Transcodifica!$A$5:$J$400,9,FALSE()),""))</f>
        <v/>
      </c>
      <c r="M238" s="8" t="str">
        <f aca="false">IF($A238="","",IF($E238="APPROVATO",1,IF($E238="In svolgimento",IF($F238="",0,$F238),0)))</f>
        <v/>
      </c>
      <c r="N238" s="10" t="str">
        <f aca="false">IF(OR($A238="",$I238="NON MAPPATO",$I238=""),"",$L238*$M238)</f>
        <v/>
      </c>
    </row>
    <row r="239" customFormat="false" ht="15" hidden="false" customHeight="false" outlineLevel="0" collapsed="false">
      <c r="A239" s="6"/>
      <c r="B239" s="7"/>
      <c r="C239" s="6"/>
      <c r="D239" s="6"/>
      <c r="E239" s="6"/>
      <c r="F239" s="8"/>
      <c r="G239" s="9"/>
      <c r="H239" s="7"/>
      <c r="I239" s="6" t="str">
        <f aca="false">IF($A239="","",IFERROR(VLOOKUP($A239,Transcodifica!$A$5:$J$400,5,FALSE()),"NON MAPPATO"))</f>
        <v/>
      </c>
      <c r="J239" s="6" t="str">
        <f aca="false">IF($A239="","",IFERROR(VLOOKUP($A239,Transcodifica!$A$5:$J$400,7,FALSE()),""))</f>
        <v/>
      </c>
      <c r="K239" s="6" t="str">
        <f aca="false">IF($A239="","",IFERROR(VLOOKUP($A239,Transcodifica!$A$5:$J$400,8,FALSE()),""))</f>
        <v/>
      </c>
      <c r="L239" s="6" t="str">
        <f aca="false">IF($A239="","",IFERROR(VLOOKUP($A239,Transcodifica!$A$5:$J$400,9,FALSE()),""))</f>
        <v/>
      </c>
      <c r="M239" s="8" t="str">
        <f aca="false">IF($A239="","",IF($E239="APPROVATO",1,IF($E239="In svolgimento",IF($F239="",0,$F239),0)))</f>
        <v/>
      </c>
      <c r="N239" s="10" t="str">
        <f aca="false">IF(OR($A239="",$I239="NON MAPPATO",$I239=""),"",$L239*$M239)</f>
        <v/>
      </c>
    </row>
    <row r="240" customFormat="false" ht="15" hidden="false" customHeight="false" outlineLevel="0" collapsed="false">
      <c r="A240" s="6"/>
      <c r="B240" s="7"/>
      <c r="C240" s="6"/>
      <c r="D240" s="6"/>
      <c r="E240" s="6"/>
      <c r="F240" s="8"/>
      <c r="G240" s="9"/>
      <c r="H240" s="7"/>
      <c r="I240" s="6" t="str">
        <f aca="false">IF($A240="","",IFERROR(VLOOKUP($A240,Transcodifica!$A$5:$J$400,5,FALSE()),"NON MAPPATO"))</f>
        <v/>
      </c>
      <c r="J240" s="6" t="str">
        <f aca="false">IF($A240="","",IFERROR(VLOOKUP($A240,Transcodifica!$A$5:$J$400,7,FALSE()),""))</f>
        <v/>
      </c>
      <c r="K240" s="6" t="str">
        <f aca="false">IF($A240="","",IFERROR(VLOOKUP($A240,Transcodifica!$A$5:$J$400,8,FALSE()),""))</f>
        <v/>
      </c>
      <c r="L240" s="6" t="str">
        <f aca="false">IF($A240="","",IFERROR(VLOOKUP($A240,Transcodifica!$A$5:$J$400,9,FALSE()),""))</f>
        <v/>
      </c>
      <c r="M240" s="8" t="str">
        <f aca="false">IF($A240="","",IF($E240="APPROVATO",1,IF($E240="In svolgimento",IF($F240="",0,$F240),0)))</f>
        <v/>
      </c>
      <c r="N240" s="10" t="str">
        <f aca="false">IF(OR($A240="",$I240="NON MAPPATO",$I240=""),"",$L240*$M240)</f>
        <v/>
      </c>
    </row>
    <row r="241" customFormat="false" ht="15" hidden="false" customHeight="false" outlineLevel="0" collapsed="false">
      <c r="A241" s="6"/>
      <c r="B241" s="7"/>
      <c r="C241" s="6"/>
      <c r="D241" s="6"/>
      <c r="E241" s="6"/>
      <c r="F241" s="8"/>
      <c r="G241" s="9"/>
      <c r="H241" s="7"/>
      <c r="I241" s="6" t="str">
        <f aca="false">IF($A241="","",IFERROR(VLOOKUP($A241,Transcodifica!$A$5:$J$400,5,FALSE()),"NON MAPPATO"))</f>
        <v/>
      </c>
      <c r="J241" s="6" t="str">
        <f aca="false">IF($A241="","",IFERROR(VLOOKUP($A241,Transcodifica!$A$5:$J$400,7,FALSE()),""))</f>
        <v/>
      </c>
      <c r="K241" s="6" t="str">
        <f aca="false">IF($A241="","",IFERROR(VLOOKUP($A241,Transcodifica!$A$5:$J$400,8,FALSE()),""))</f>
        <v/>
      </c>
      <c r="L241" s="6" t="str">
        <f aca="false">IF($A241="","",IFERROR(VLOOKUP($A241,Transcodifica!$A$5:$J$400,9,FALSE()),""))</f>
        <v/>
      </c>
      <c r="M241" s="8" t="str">
        <f aca="false">IF($A241="","",IF($E241="APPROVATO",1,IF($E241="In svolgimento",IF($F241="",0,$F241),0)))</f>
        <v/>
      </c>
      <c r="N241" s="10" t="str">
        <f aca="false">IF(OR($A241="",$I241="NON MAPPATO",$I241=""),"",$L241*$M241)</f>
        <v/>
      </c>
    </row>
    <row r="242" customFormat="false" ht="15" hidden="false" customHeight="false" outlineLevel="0" collapsed="false">
      <c r="A242" s="6"/>
      <c r="B242" s="7"/>
      <c r="C242" s="6"/>
      <c r="D242" s="6"/>
      <c r="E242" s="6"/>
      <c r="F242" s="8"/>
      <c r="G242" s="9"/>
      <c r="H242" s="7"/>
      <c r="I242" s="6" t="str">
        <f aca="false">IF($A242="","",IFERROR(VLOOKUP($A242,Transcodifica!$A$5:$J$400,5,FALSE()),"NON MAPPATO"))</f>
        <v/>
      </c>
      <c r="J242" s="6" t="str">
        <f aca="false">IF($A242="","",IFERROR(VLOOKUP($A242,Transcodifica!$A$5:$J$400,7,FALSE()),""))</f>
        <v/>
      </c>
      <c r="K242" s="6" t="str">
        <f aca="false">IF($A242="","",IFERROR(VLOOKUP($A242,Transcodifica!$A$5:$J$400,8,FALSE()),""))</f>
        <v/>
      </c>
      <c r="L242" s="6" t="str">
        <f aca="false">IF($A242="","",IFERROR(VLOOKUP($A242,Transcodifica!$A$5:$J$400,9,FALSE()),""))</f>
        <v/>
      </c>
      <c r="M242" s="8" t="str">
        <f aca="false">IF($A242="","",IF($E242="APPROVATO",1,IF($E242="In svolgimento",IF($F242="",0,$F242),0)))</f>
        <v/>
      </c>
      <c r="N242" s="10" t="str">
        <f aca="false">IF(OR($A242="",$I242="NON MAPPATO",$I242=""),"",$L242*$M242)</f>
        <v/>
      </c>
    </row>
    <row r="243" customFormat="false" ht="15" hidden="false" customHeight="false" outlineLevel="0" collapsed="false">
      <c r="A243" s="6"/>
      <c r="B243" s="7"/>
      <c r="C243" s="6"/>
      <c r="D243" s="6"/>
      <c r="E243" s="6"/>
      <c r="F243" s="8"/>
      <c r="G243" s="9"/>
      <c r="H243" s="7"/>
      <c r="I243" s="6" t="str">
        <f aca="false">IF($A243="","",IFERROR(VLOOKUP($A243,Transcodifica!$A$5:$J$400,5,FALSE()),"NON MAPPATO"))</f>
        <v/>
      </c>
      <c r="J243" s="6" t="str">
        <f aca="false">IF($A243="","",IFERROR(VLOOKUP($A243,Transcodifica!$A$5:$J$400,7,FALSE()),""))</f>
        <v/>
      </c>
      <c r="K243" s="6" t="str">
        <f aca="false">IF($A243="","",IFERROR(VLOOKUP($A243,Transcodifica!$A$5:$J$400,8,FALSE()),""))</f>
        <v/>
      </c>
      <c r="L243" s="6" t="str">
        <f aca="false">IF($A243="","",IFERROR(VLOOKUP($A243,Transcodifica!$A$5:$J$400,9,FALSE()),""))</f>
        <v/>
      </c>
      <c r="M243" s="8" t="str">
        <f aca="false">IF($A243="","",IF($E243="APPROVATO",1,IF($E243="In svolgimento",IF($F243="",0,$F243),0)))</f>
        <v/>
      </c>
      <c r="N243" s="10" t="str">
        <f aca="false">IF(OR($A243="",$I243="NON MAPPATO",$I243=""),"",$L243*$M243)</f>
        <v/>
      </c>
    </row>
    <row r="244" customFormat="false" ht="15" hidden="false" customHeight="false" outlineLevel="0" collapsed="false">
      <c r="A244" s="6"/>
      <c r="B244" s="7"/>
      <c r="C244" s="6"/>
      <c r="D244" s="6"/>
      <c r="E244" s="6"/>
      <c r="F244" s="8"/>
      <c r="G244" s="9"/>
      <c r="H244" s="7"/>
      <c r="I244" s="6" t="str">
        <f aca="false">IF($A244="","",IFERROR(VLOOKUP($A244,Transcodifica!$A$5:$J$400,5,FALSE()),"NON MAPPATO"))</f>
        <v/>
      </c>
      <c r="J244" s="6" t="str">
        <f aca="false">IF($A244="","",IFERROR(VLOOKUP($A244,Transcodifica!$A$5:$J$400,7,FALSE()),""))</f>
        <v/>
      </c>
      <c r="K244" s="6" t="str">
        <f aca="false">IF($A244="","",IFERROR(VLOOKUP($A244,Transcodifica!$A$5:$J$400,8,FALSE()),""))</f>
        <v/>
      </c>
      <c r="L244" s="6" t="str">
        <f aca="false">IF($A244="","",IFERROR(VLOOKUP($A244,Transcodifica!$A$5:$J$400,9,FALSE()),""))</f>
        <v/>
      </c>
      <c r="M244" s="8" t="str">
        <f aca="false">IF($A244="","",IF($E244="APPROVATO",1,IF($E244="In svolgimento",IF($F244="",0,$F244),0)))</f>
        <v/>
      </c>
      <c r="N244" s="10" t="str">
        <f aca="false">IF(OR($A244="",$I244="NON MAPPATO",$I244=""),"",$L244*$M244)</f>
        <v/>
      </c>
    </row>
    <row r="245" customFormat="false" ht="15" hidden="false" customHeight="false" outlineLevel="0" collapsed="false">
      <c r="A245" s="6"/>
      <c r="B245" s="7"/>
      <c r="C245" s="6"/>
      <c r="D245" s="6"/>
      <c r="E245" s="6"/>
      <c r="F245" s="8"/>
      <c r="G245" s="9"/>
      <c r="H245" s="7"/>
      <c r="I245" s="6" t="str">
        <f aca="false">IF($A245="","",IFERROR(VLOOKUP($A245,Transcodifica!$A$5:$J$400,5,FALSE()),"NON MAPPATO"))</f>
        <v/>
      </c>
      <c r="J245" s="6" t="str">
        <f aca="false">IF($A245="","",IFERROR(VLOOKUP($A245,Transcodifica!$A$5:$J$400,7,FALSE()),""))</f>
        <v/>
      </c>
      <c r="K245" s="6" t="str">
        <f aca="false">IF($A245="","",IFERROR(VLOOKUP($A245,Transcodifica!$A$5:$J$400,8,FALSE()),""))</f>
        <v/>
      </c>
      <c r="L245" s="6" t="str">
        <f aca="false">IF($A245="","",IFERROR(VLOOKUP($A245,Transcodifica!$A$5:$J$400,9,FALSE()),""))</f>
        <v/>
      </c>
      <c r="M245" s="8" t="str">
        <f aca="false">IF($A245="","",IF($E245="APPROVATO",1,IF($E245="In svolgimento",IF($F245="",0,$F245),0)))</f>
        <v/>
      </c>
      <c r="N245" s="10" t="str">
        <f aca="false">IF(OR($A245="",$I245="NON MAPPATO",$I245=""),"",$L245*$M245)</f>
        <v/>
      </c>
    </row>
    <row r="246" customFormat="false" ht="15" hidden="false" customHeight="false" outlineLevel="0" collapsed="false">
      <c r="A246" s="6"/>
      <c r="B246" s="7"/>
      <c r="C246" s="6"/>
      <c r="D246" s="6"/>
      <c r="E246" s="6"/>
      <c r="F246" s="8"/>
      <c r="G246" s="9"/>
      <c r="H246" s="7"/>
      <c r="I246" s="6" t="str">
        <f aca="false">IF($A246="","",IFERROR(VLOOKUP($A246,Transcodifica!$A$5:$J$400,5,FALSE()),"NON MAPPATO"))</f>
        <v/>
      </c>
      <c r="J246" s="6" t="str">
        <f aca="false">IF($A246="","",IFERROR(VLOOKUP($A246,Transcodifica!$A$5:$J$400,7,FALSE()),""))</f>
        <v/>
      </c>
      <c r="K246" s="6" t="str">
        <f aca="false">IF($A246="","",IFERROR(VLOOKUP($A246,Transcodifica!$A$5:$J$400,8,FALSE()),""))</f>
        <v/>
      </c>
      <c r="L246" s="6" t="str">
        <f aca="false">IF($A246="","",IFERROR(VLOOKUP($A246,Transcodifica!$A$5:$J$400,9,FALSE()),""))</f>
        <v/>
      </c>
      <c r="M246" s="8" t="str">
        <f aca="false">IF($A246="","",IF($E246="APPROVATO",1,IF($E246="In svolgimento",IF($F246="",0,$F246),0)))</f>
        <v/>
      </c>
      <c r="N246" s="10" t="str">
        <f aca="false">IF(OR($A246="",$I246="NON MAPPATO",$I246=""),"",$L246*$M246)</f>
        <v/>
      </c>
    </row>
    <row r="247" customFormat="false" ht="15" hidden="false" customHeight="false" outlineLevel="0" collapsed="false">
      <c r="A247" s="6"/>
      <c r="B247" s="7"/>
      <c r="C247" s="6"/>
      <c r="D247" s="6"/>
      <c r="E247" s="6"/>
      <c r="F247" s="8"/>
      <c r="G247" s="9"/>
      <c r="H247" s="7"/>
      <c r="I247" s="6" t="str">
        <f aca="false">IF($A247="","",IFERROR(VLOOKUP($A247,Transcodifica!$A$5:$J$400,5,FALSE()),"NON MAPPATO"))</f>
        <v/>
      </c>
      <c r="J247" s="6" t="str">
        <f aca="false">IF($A247="","",IFERROR(VLOOKUP($A247,Transcodifica!$A$5:$J$400,7,FALSE()),""))</f>
        <v/>
      </c>
      <c r="K247" s="6" t="str">
        <f aca="false">IF($A247="","",IFERROR(VLOOKUP($A247,Transcodifica!$A$5:$J$400,8,FALSE()),""))</f>
        <v/>
      </c>
      <c r="L247" s="6" t="str">
        <f aca="false">IF($A247="","",IFERROR(VLOOKUP($A247,Transcodifica!$A$5:$J$400,9,FALSE()),""))</f>
        <v/>
      </c>
      <c r="M247" s="8" t="str">
        <f aca="false">IF($A247="","",IF($E247="APPROVATO",1,IF($E247="In svolgimento",IF($F247="",0,$F247),0)))</f>
        <v/>
      </c>
      <c r="N247" s="10" t="str">
        <f aca="false">IF(OR($A247="",$I247="NON MAPPATO",$I247=""),"",$L247*$M247)</f>
        <v/>
      </c>
    </row>
    <row r="248" customFormat="false" ht="15" hidden="false" customHeight="false" outlineLevel="0" collapsed="false">
      <c r="A248" s="6"/>
      <c r="B248" s="7"/>
      <c r="C248" s="6"/>
      <c r="D248" s="6"/>
      <c r="E248" s="6"/>
      <c r="F248" s="8"/>
      <c r="G248" s="9"/>
      <c r="H248" s="7"/>
      <c r="I248" s="6" t="str">
        <f aca="false">IF($A248="","",IFERROR(VLOOKUP($A248,Transcodifica!$A$5:$J$400,5,FALSE()),"NON MAPPATO"))</f>
        <v/>
      </c>
      <c r="J248" s="6" t="str">
        <f aca="false">IF($A248="","",IFERROR(VLOOKUP($A248,Transcodifica!$A$5:$J$400,7,FALSE()),""))</f>
        <v/>
      </c>
      <c r="K248" s="6" t="str">
        <f aca="false">IF($A248="","",IFERROR(VLOOKUP($A248,Transcodifica!$A$5:$J$400,8,FALSE()),""))</f>
        <v/>
      </c>
      <c r="L248" s="6" t="str">
        <f aca="false">IF($A248="","",IFERROR(VLOOKUP($A248,Transcodifica!$A$5:$J$400,9,FALSE()),""))</f>
        <v/>
      </c>
      <c r="M248" s="8" t="str">
        <f aca="false">IF($A248="","",IF($E248="APPROVATO",1,IF($E248="In svolgimento",IF($F248="",0,$F248),0)))</f>
        <v/>
      </c>
      <c r="N248" s="10" t="str">
        <f aca="false">IF(OR($A248="",$I248="NON MAPPATO",$I248=""),"",$L248*$M248)</f>
        <v/>
      </c>
    </row>
    <row r="249" customFormat="false" ht="15" hidden="false" customHeight="false" outlineLevel="0" collapsed="false">
      <c r="A249" s="6"/>
      <c r="B249" s="7"/>
      <c r="C249" s="6"/>
      <c r="D249" s="6"/>
      <c r="E249" s="6"/>
      <c r="F249" s="8"/>
      <c r="G249" s="9"/>
      <c r="H249" s="7"/>
      <c r="I249" s="6" t="str">
        <f aca="false">IF($A249="","",IFERROR(VLOOKUP($A249,Transcodifica!$A$5:$J$400,5,FALSE()),"NON MAPPATO"))</f>
        <v/>
      </c>
      <c r="J249" s="6" t="str">
        <f aca="false">IF($A249="","",IFERROR(VLOOKUP($A249,Transcodifica!$A$5:$J$400,7,FALSE()),""))</f>
        <v/>
      </c>
      <c r="K249" s="6" t="str">
        <f aca="false">IF($A249="","",IFERROR(VLOOKUP($A249,Transcodifica!$A$5:$J$400,8,FALSE()),""))</f>
        <v/>
      </c>
      <c r="L249" s="6" t="str">
        <f aca="false">IF($A249="","",IFERROR(VLOOKUP($A249,Transcodifica!$A$5:$J$400,9,FALSE()),""))</f>
        <v/>
      </c>
      <c r="M249" s="8" t="str">
        <f aca="false">IF($A249="","",IF($E249="APPROVATO",1,IF($E249="In svolgimento",IF($F249="",0,$F249),0)))</f>
        <v/>
      </c>
      <c r="N249" s="10" t="str">
        <f aca="false">IF(OR($A249="",$I249="NON MAPPATO",$I249=""),"",$L249*$M249)</f>
        <v/>
      </c>
    </row>
    <row r="250" customFormat="false" ht="15" hidden="false" customHeight="false" outlineLevel="0" collapsed="false">
      <c r="A250" s="6"/>
      <c r="B250" s="7"/>
      <c r="C250" s="6"/>
      <c r="D250" s="6"/>
      <c r="E250" s="6"/>
      <c r="F250" s="8"/>
      <c r="G250" s="9"/>
      <c r="H250" s="7"/>
      <c r="I250" s="6" t="str">
        <f aca="false">IF($A250="","",IFERROR(VLOOKUP($A250,Transcodifica!$A$5:$J$400,5,FALSE()),"NON MAPPATO"))</f>
        <v/>
      </c>
      <c r="J250" s="6" t="str">
        <f aca="false">IF($A250="","",IFERROR(VLOOKUP($A250,Transcodifica!$A$5:$J$400,7,FALSE()),""))</f>
        <v/>
      </c>
      <c r="K250" s="6" t="str">
        <f aca="false">IF($A250="","",IFERROR(VLOOKUP($A250,Transcodifica!$A$5:$J$400,8,FALSE()),""))</f>
        <v/>
      </c>
      <c r="L250" s="6" t="str">
        <f aca="false">IF($A250="","",IFERROR(VLOOKUP($A250,Transcodifica!$A$5:$J$400,9,FALSE()),""))</f>
        <v/>
      </c>
      <c r="M250" s="8" t="str">
        <f aca="false">IF($A250="","",IF($E250="APPROVATO",1,IF($E250="In svolgimento",IF($F250="",0,$F250),0)))</f>
        <v/>
      </c>
      <c r="N250" s="10" t="str">
        <f aca="false">IF(OR($A250="",$I250="NON MAPPATO",$I250=""),"",$L250*$M250)</f>
        <v/>
      </c>
    </row>
    <row r="251" customFormat="false" ht="15" hidden="false" customHeight="false" outlineLevel="0" collapsed="false">
      <c r="A251" s="6"/>
      <c r="B251" s="7"/>
      <c r="C251" s="6"/>
      <c r="D251" s="6"/>
      <c r="E251" s="6"/>
      <c r="F251" s="8"/>
      <c r="G251" s="9"/>
      <c r="H251" s="7"/>
      <c r="I251" s="6" t="str">
        <f aca="false">IF($A251="","",IFERROR(VLOOKUP($A251,Transcodifica!$A$5:$J$400,5,FALSE()),"NON MAPPATO"))</f>
        <v/>
      </c>
      <c r="J251" s="6" t="str">
        <f aca="false">IF($A251="","",IFERROR(VLOOKUP($A251,Transcodifica!$A$5:$J$400,7,FALSE()),""))</f>
        <v/>
      </c>
      <c r="K251" s="6" t="str">
        <f aca="false">IF($A251="","",IFERROR(VLOOKUP($A251,Transcodifica!$A$5:$J$400,8,FALSE()),""))</f>
        <v/>
      </c>
      <c r="L251" s="6" t="str">
        <f aca="false">IF($A251="","",IFERROR(VLOOKUP($A251,Transcodifica!$A$5:$J$400,9,FALSE()),""))</f>
        <v/>
      </c>
      <c r="M251" s="8" t="str">
        <f aca="false">IF($A251="","",IF($E251="APPROVATO",1,IF($E251="In svolgimento",IF($F251="",0,$F251),0)))</f>
        <v/>
      </c>
      <c r="N251" s="10" t="str">
        <f aca="false">IF(OR($A251="",$I251="NON MAPPATO",$I251=""),"",$L251*$M251)</f>
        <v/>
      </c>
    </row>
    <row r="252" customFormat="false" ht="15" hidden="false" customHeight="false" outlineLevel="0" collapsed="false">
      <c r="A252" s="6"/>
      <c r="B252" s="7"/>
      <c r="C252" s="6"/>
      <c r="D252" s="6"/>
      <c r="E252" s="6"/>
      <c r="F252" s="8"/>
      <c r="G252" s="9"/>
      <c r="H252" s="7"/>
      <c r="I252" s="6" t="str">
        <f aca="false">IF($A252="","",IFERROR(VLOOKUP($A252,Transcodifica!$A$5:$J$400,5,FALSE()),"NON MAPPATO"))</f>
        <v/>
      </c>
      <c r="J252" s="6" t="str">
        <f aca="false">IF($A252="","",IFERROR(VLOOKUP($A252,Transcodifica!$A$5:$J$400,7,FALSE()),""))</f>
        <v/>
      </c>
      <c r="K252" s="6" t="str">
        <f aca="false">IF($A252="","",IFERROR(VLOOKUP($A252,Transcodifica!$A$5:$J$400,8,FALSE()),""))</f>
        <v/>
      </c>
      <c r="L252" s="6" t="str">
        <f aca="false">IF($A252="","",IFERROR(VLOOKUP($A252,Transcodifica!$A$5:$J$400,9,FALSE()),""))</f>
        <v/>
      </c>
      <c r="M252" s="8" t="str">
        <f aca="false">IF($A252="","",IF($E252="APPROVATO",1,IF($E252="In svolgimento",IF($F252="",0,$F252),0)))</f>
        <v/>
      </c>
      <c r="N252" s="10" t="str">
        <f aca="false">IF(OR($A252="",$I252="NON MAPPATO",$I252=""),"",$L252*$M252)</f>
        <v/>
      </c>
    </row>
    <row r="253" customFormat="false" ht="15" hidden="false" customHeight="false" outlineLevel="0" collapsed="false">
      <c r="A253" s="6"/>
      <c r="B253" s="7"/>
      <c r="C253" s="6"/>
      <c r="D253" s="6"/>
      <c r="E253" s="6"/>
      <c r="F253" s="8"/>
      <c r="G253" s="9"/>
      <c r="H253" s="7"/>
      <c r="I253" s="6" t="str">
        <f aca="false">IF($A253="","",IFERROR(VLOOKUP($A253,Transcodifica!$A$5:$J$400,5,FALSE()),"NON MAPPATO"))</f>
        <v/>
      </c>
      <c r="J253" s="6" t="str">
        <f aca="false">IF($A253="","",IFERROR(VLOOKUP($A253,Transcodifica!$A$5:$J$400,7,FALSE()),""))</f>
        <v/>
      </c>
      <c r="K253" s="6" t="str">
        <f aca="false">IF($A253="","",IFERROR(VLOOKUP($A253,Transcodifica!$A$5:$J$400,8,FALSE()),""))</f>
        <v/>
      </c>
      <c r="L253" s="6" t="str">
        <f aca="false">IF($A253="","",IFERROR(VLOOKUP($A253,Transcodifica!$A$5:$J$400,9,FALSE()),""))</f>
        <v/>
      </c>
      <c r="M253" s="8" t="str">
        <f aca="false">IF($A253="","",IF($E253="APPROVATO",1,IF($E253="In svolgimento",IF($F253="",0,$F253),0)))</f>
        <v/>
      </c>
      <c r="N253" s="10" t="str">
        <f aca="false">IF(OR($A253="",$I253="NON MAPPATO",$I253=""),"",$L253*$M253)</f>
        <v/>
      </c>
    </row>
    <row r="254" customFormat="false" ht="15" hidden="false" customHeight="false" outlineLevel="0" collapsed="false">
      <c r="A254" s="6"/>
      <c r="B254" s="7"/>
      <c r="C254" s="6"/>
      <c r="D254" s="6"/>
      <c r="E254" s="6"/>
      <c r="F254" s="8"/>
      <c r="G254" s="9"/>
      <c r="H254" s="7"/>
      <c r="I254" s="6" t="str">
        <f aca="false">IF($A254="","",IFERROR(VLOOKUP($A254,Transcodifica!$A$5:$J$400,5,FALSE()),"NON MAPPATO"))</f>
        <v/>
      </c>
      <c r="J254" s="6" t="str">
        <f aca="false">IF($A254="","",IFERROR(VLOOKUP($A254,Transcodifica!$A$5:$J$400,7,FALSE()),""))</f>
        <v/>
      </c>
      <c r="K254" s="6" t="str">
        <f aca="false">IF($A254="","",IFERROR(VLOOKUP($A254,Transcodifica!$A$5:$J$400,8,FALSE()),""))</f>
        <v/>
      </c>
      <c r="L254" s="6" t="str">
        <f aca="false">IF($A254="","",IFERROR(VLOOKUP($A254,Transcodifica!$A$5:$J$400,9,FALSE()),""))</f>
        <v/>
      </c>
      <c r="M254" s="8" t="str">
        <f aca="false">IF($A254="","",IF($E254="APPROVATO",1,IF($E254="In svolgimento",IF($F254="",0,$F254),0)))</f>
        <v/>
      </c>
      <c r="N254" s="10" t="str">
        <f aca="false">IF(OR($A254="",$I254="NON MAPPATO",$I254=""),"",$L254*$M254)</f>
        <v/>
      </c>
    </row>
    <row r="255" customFormat="false" ht="15" hidden="false" customHeight="false" outlineLevel="0" collapsed="false">
      <c r="A255" s="6"/>
      <c r="B255" s="7"/>
      <c r="C255" s="6"/>
      <c r="D255" s="6"/>
      <c r="E255" s="6"/>
      <c r="F255" s="8"/>
      <c r="G255" s="9"/>
      <c r="H255" s="7"/>
      <c r="I255" s="6" t="str">
        <f aca="false">IF($A255="","",IFERROR(VLOOKUP($A255,Transcodifica!$A$5:$J$400,5,FALSE()),"NON MAPPATO"))</f>
        <v/>
      </c>
      <c r="J255" s="6" t="str">
        <f aca="false">IF($A255="","",IFERROR(VLOOKUP($A255,Transcodifica!$A$5:$J$400,7,FALSE()),""))</f>
        <v/>
      </c>
      <c r="K255" s="6" t="str">
        <f aca="false">IF($A255="","",IFERROR(VLOOKUP($A255,Transcodifica!$A$5:$J$400,8,FALSE()),""))</f>
        <v/>
      </c>
      <c r="L255" s="6" t="str">
        <f aca="false">IF($A255="","",IFERROR(VLOOKUP($A255,Transcodifica!$A$5:$J$400,9,FALSE()),""))</f>
        <v/>
      </c>
      <c r="M255" s="8" t="str">
        <f aca="false">IF($A255="","",IF($E255="APPROVATO",1,IF($E255="In svolgimento",IF($F255="",0,$F255),0)))</f>
        <v/>
      </c>
      <c r="N255" s="10" t="str">
        <f aca="false">IF(OR($A255="",$I255="NON MAPPATO",$I255=""),"",$L255*$M255)</f>
        <v/>
      </c>
    </row>
    <row r="256" customFormat="false" ht="15" hidden="false" customHeight="false" outlineLevel="0" collapsed="false">
      <c r="A256" s="6"/>
      <c r="B256" s="7"/>
      <c r="C256" s="6"/>
      <c r="D256" s="6"/>
      <c r="E256" s="6"/>
      <c r="F256" s="8"/>
      <c r="G256" s="9"/>
      <c r="H256" s="7"/>
      <c r="I256" s="6" t="str">
        <f aca="false">IF($A256="","",IFERROR(VLOOKUP($A256,Transcodifica!$A$5:$J$400,5,FALSE()),"NON MAPPATO"))</f>
        <v/>
      </c>
      <c r="J256" s="6" t="str">
        <f aca="false">IF($A256="","",IFERROR(VLOOKUP($A256,Transcodifica!$A$5:$J$400,7,FALSE()),""))</f>
        <v/>
      </c>
      <c r="K256" s="6" t="str">
        <f aca="false">IF($A256="","",IFERROR(VLOOKUP($A256,Transcodifica!$A$5:$J$400,8,FALSE()),""))</f>
        <v/>
      </c>
      <c r="L256" s="6" t="str">
        <f aca="false">IF($A256="","",IFERROR(VLOOKUP($A256,Transcodifica!$A$5:$J$400,9,FALSE()),""))</f>
        <v/>
      </c>
      <c r="M256" s="8" t="str">
        <f aca="false">IF($A256="","",IF($E256="APPROVATO",1,IF($E256="In svolgimento",IF($F256="",0,$F256),0)))</f>
        <v/>
      </c>
      <c r="N256" s="10" t="str">
        <f aca="false">IF(OR($A256="",$I256="NON MAPPATO",$I256=""),"",$L256*$M256)</f>
        <v/>
      </c>
    </row>
    <row r="257" customFormat="false" ht="15" hidden="false" customHeight="false" outlineLevel="0" collapsed="false">
      <c r="A257" s="6"/>
      <c r="B257" s="7"/>
      <c r="C257" s="6"/>
      <c r="D257" s="6"/>
      <c r="E257" s="6"/>
      <c r="F257" s="8"/>
      <c r="G257" s="9"/>
      <c r="H257" s="7"/>
      <c r="I257" s="6" t="str">
        <f aca="false">IF($A257="","",IFERROR(VLOOKUP($A257,Transcodifica!$A$5:$J$400,5,FALSE()),"NON MAPPATO"))</f>
        <v/>
      </c>
      <c r="J257" s="6" t="str">
        <f aca="false">IF($A257="","",IFERROR(VLOOKUP($A257,Transcodifica!$A$5:$J$400,7,FALSE()),""))</f>
        <v/>
      </c>
      <c r="K257" s="6" t="str">
        <f aca="false">IF($A257="","",IFERROR(VLOOKUP($A257,Transcodifica!$A$5:$J$400,8,FALSE()),""))</f>
        <v/>
      </c>
      <c r="L257" s="6" t="str">
        <f aca="false">IF($A257="","",IFERROR(VLOOKUP($A257,Transcodifica!$A$5:$J$400,9,FALSE()),""))</f>
        <v/>
      </c>
      <c r="M257" s="8" t="str">
        <f aca="false">IF($A257="","",IF($E257="APPROVATO",1,IF($E257="In svolgimento",IF($F257="",0,$F257),0)))</f>
        <v/>
      </c>
      <c r="N257" s="10" t="str">
        <f aca="false">IF(OR($A257="",$I257="NON MAPPATO",$I257=""),"",$L257*$M257)</f>
        <v/>
      </c>
    </row>
    <row r="258" customFormat="false" ht="15" hidden="false" customHeight="false" outlineLevel="0" collapsed="false">
      <c r="A258" s="6"/>
      <c r="B258" s="7"/>
      <c r="C258" s="6"/>
      <c r="D258" s="6"/>
      <c r="E258" s="6"/>
      <c r="F258" s="8"/>
      <c r="G258" s="9"/>
      <c r="H258" s="7"/>
      <c r="I258" s="6" t="str">
        <f aca="false">IF($A258="","",IFERROR(VLOOKUP($A258,Transcodifica!$A$5:$J$400,5,FALSE()),"NON MAPPATO"))</f>
        <v/>
      </c>
      <c r="J258" s="6" t="str">
        <f aca="false">IF($A258="","",IFERROR(VLOOKUP($A258,Transcodifica!$A$5:$J$400,7,FALSE()),""))</f>
        <v/>
      </c>
      <c r="K258" s="6" t="str">
        <f aca="false">IF($A258="","",IFERROR(VLOOKUP($A258,Transcodifica!$A$5:$J$400,8,FALSE()),""))</f>
        <v/>
      </c>
      <c r="L258" s="6" t="str">
        <f aca="false">IF($A258="","",IFERROR(VLOOKUP($A258,Transcodifica!$A$5:$J$400,9,FALSE()),""))</f>
        <v/>
      </c>
      <c r="M258" s="8" t="str">
        <f aca="false">IF($A258="","",IF($E258="APPROVATO",1,IF($E258="In svolgimento",IF($F258="",0,$F258),0)))</f>
        <v/>
      </c>
      <c r="N258" s="10" t="str">
        <f aca="false">IF(OR($A258="",$I258="NON MAPPATO",$I258=""),"",$L258*$M258)</f>
        <v/>
      </c>
    </row>
    <row r="259" customFormat="false" ht="15" hidden="false" customHeight="false" outlineLevel="0" collapsed="false">
      <c r="A259" s="6"/>
      <c r="B259" s="7"/>
      <c r="C259" s="6"/>
      <c r="D259" s="6"/>
      <c r="E259" s="6"/>
      <c r="F259" s="8"/>
      <c r="G259" s="9"/>
      <c r="H259" s="7"/>
      <c r="I259" s="6" t="str">
        <f aca="false">IF($A259="","",IFERROR(VLOOKUP($A259,Transcodifica!$A$5:$J$400,5,FALSE()),"NON MAPPATO"))</f>
        <v/>
      </c>
      <c r="J259" s="6" t="str">
        <f aca="false">IF($A259="","",IFERROR(VLOOKUP($A259,Transcodifica!$A$5:$J$400,7,FALSE()),""))</f>
        <v/>
      </c>
      <c r="K259" s="6" t="str">
        <f aca="false">IF($A259="","",IFERROR(VLOOKUP($A259,Transcodifica!$A$5:$J$400,8,FALSE()),""))</f>
        <v/>
      </c>
      <c r="L259" s="6" t="str">
        <f aca="false">IF($A259="","",IFERROR(VLOOKUP($A259,Transcodifica!$A$5:$J$400,9,FALSE()),""))</f>
        <v/>
      </c>
      <c r="M259" s="8" t="str">
        <f aca="false">IF($A259="","",IF($E259="APPROVATO",1,IF($E259="In svolgimento",IF($F259="",0,$F259),0)))</f>
        <v/>
      </c>
      <c r="N259" s="10" t="str">
        <f aca="false">IF(OR($A259="",$I259="NON MAPPATO",$I259=""),"",$L259*$M259)</f>
        <v/>
      </c>
    </row>
    <row r="260" customFormat="false" ht="15" hidden="false" customHeight="false" outlineLevel="0" collapsed="false">
      <c r="A260" s="6"/>
      <c r="B260" s="7"/>
      <c r="C260" s="6"/>
      <c r="D260" s="6"/>
      <c r="E260" s="6"/>
      <c r="F260" s="8"/>
      <c r="G260" s="9"/>
      <c r="H260" s="7"/>
      <c r="I260" s="6" t="str">
        <f aca="false">IF($A260="","",IFERROR(VLOOKUP($A260,Transcodifica!$A$5:$J$400,5,FALSE()),"NON MAPPATO"))</f>
        <v/>
      </c>
      <c r="J260" s="6" t="str">
        <f aca="false">IF($A260="","",IFERROR(VLOOKUP($A260,Transcodifica!$A$5:$J$400,7,FALSE()),""))</f>
        <v/>
      </c>
      <c r="K260" s="6" t="str">
        <f aca="false">IF($A260="","",IFERROR(VLOOKUP($A260,Transcodifica!$A$5:$J$400,8,FALSE()),""))</f>
        <v/>
      </c>
      <c r="L260" s="6" t="str">
        <f aca="false">IF($A260="","",IFERROR(VLOOKUP($A260,Transcodifica!$A$5:$J$400,9,FALSE()),""))</f>
        <v/>
      </c>
      <c r="M260" s="8" t="str">
        <f aca="false">IF($A260="","",IF($E260="APPROVATO",1,IF($E260="In svolgimento",IF($F260="",0,$F260),0)))</f>
        <v/>
      </c>
      <c r="N260" s="10" t="str">
        <f aca="false">IF(OR($A260="",$I260="NON MAPPATO",$I260=""),"",$L260*$M260)</f>
        <v/>
      </c>
    </row>
    <row r="261" customFormat="false" ht="15" hidden="false" customHeight="false" outlineLevel="0" collapsed="false">
      <c r="A261" s="6"/>
      <c r="B261" s="7"/>
      <c r="C261" s="6"/>
      <c r="D261" s="6"/>
      <c r="E261" s="6"/>
      <c r="F261" s="8"/>
      <c r="G261" s="9"/>
      <c r="H261" s="7"/>
      <c r="I261" s="6" t="str">
        <f aca="false">IF($A261="","",IFERROR(VLOOKUP($A261,Transcodifica!$A$5:$J$400,5,FALSE()),"NON MAPPATO"))</f>
        <v/>
      </c>
      <c r="J261" s="6" t="str">
        <f aca="false">IF($A261="","",IFERROR(VLOOKUP($A261,Transcodifica!$A$5:$J$400,7,FALSE()),""))</f>
        <v/>
      </c>
      <c r="K261" s="6" t="str">
        <f aca="false">IF($A261="","",IFERROR(VLOOKUP($A261,Transcodifica!$A$5:$J$400,8,FALSE()),""))</f>
        <v/>
      </c>
      <c r="L261" s="6" t="str">
        <f aca="false">IF($A261="","",IFERROR(VLOOKUP($A261,Transcodifica!$A$5:$J$400,9,FALSE()),""))</f>
        <v/>
      </c>
      <c r="M261" s="8" t="str">
        <f aca="false">IF($A261="","",IF($E261="APPROVATO",1,IF($E261="In svolgimento",IF($F261="",0,$F261),0)))</f>
        <v/>
      </c>
      <c r="N261" s="10" t="str">
        <f aca="false">IF(OR($A261="",$I261="NON MAPPATO",$I261=""),"",$L261*$M261)</f>
        <v/>
      </c>
    </row>
    <row r="262" customFormat="false" ht="15" hidden="false" customHeight="false" outlineLevel="0" collapsed="false">
      <c r="A262" s="6"/>
      <c r="B262" s="7"/>
      <c r="C262" s="6"/>
      <c r="D262" s="6"/>
      <c r="E262" s="6"/>
      <c r="F262" s="8"/>
      <c r="G262" s="9"/>
      <c r="H262" s="7"/>
      <c r="I262" s="6" t="str">
        <f aca="false">IF($A262="","",IFERROR(VLOOKUP($A262,Transcodifica!$A$5:$J$400,5,FALSE()),"NON MAPPATO"))</f>
        <v/>
      </c>
      <c r="J262" s="6" t="str">
        <f aca="false">IF($A262="","",IFERROR(VLOOKUP($A262,Transcodifica!$A$5:$J$400,7,FALSE()),""))</f>
        <v/>
      </c>
      <c r="K262" s="6" t="str">
        <f aca="false">IF($A262="","",IFERROR(VLOOKUP($A262,Transcodifica!$A$5:$J$400,8,FALSE()),""))</f>
        <v/>
      </c>
      <c r="L262" s="6" t="str">
        <f aca="false">IF($A262="","",IFERROR(VLOOKUP($A262,Transcodifica!$A$5:$J$400,9,FALSE()),""))</f>
        <v/>
      </c>
      <c r="M262" s="8" t="str">
        <f aca="false">IF($A262="","",IF($E262="APPROVATO",1,IF($E262="In svolgimento",IF($F262="",0,$F262),0)))</f>
        <v/>
      </c>
      <c r="N262" s="10" t="str">
        <f aca="false">IF(OR($A262="",$I262="NON MAPPATO",$I262=""),"",$L262*$M262)</f>
        <v/>
      </c>
    </row>
    <row r="263" customFormat="false" ht="15" hidden="false" customHeight="false" outlineLevel="0" collapsed="false">
      <c r="A263" s="6"/>
      <c r="B263" s="7"/>
      <c r="C263" s="6"/>
      <c r="D263" s="6"/>
      <c r="E263" s="6"/>
      <c r="F263" s="8"/>
      <c r="G263" s="9"/>
      <c r="H263" s="7"/>
      <c r="I263" s="6" t="str">
        <f aca="false">IF($A263="","",IFERROR(VLOOKUP($A263,Transcodifica!$A$5:$J$400,5,FALSE()),"NON MAPPATO"))</f>
        <v/>
      </c>
      <c r="J263" s="6" t="str">
        <f aca="false">IF($A263="","",IFERROR(VLOOKUP($A263,Transcodifica!$A$5:$J$400,7,FALSE()),""))</f>
        <v/>
      </c>
      <c r="K263" s="6" t="str">
        <f aca="false">IF($A263="","",IFERROR(VLOOKUP($A263,Transcodifica!$A$5:$J$400,8,FALSE()),""))</f>
        <v/>
      </c>
      <c r="L263" s="6" t="str">
        <f aca="false">IF($A263="","",IFERROR(VLOOKUP($A263,Transcodifica!$A$5:$J$400,9,FALSE()),""))</f>
        <v/>
      </c>
      <c r="M263" s="8" t="str">
        <f aca="false">IF($A263="","",IF($E263="APPROVATO",1,IF($E263="In svolgimento",IF($F263="",0,$F263),0)))</f>
        <v/>
      </c>
      <c r="N263" s="10" t="str">
        <f aca="false">IF(OR($A263="",$I263="NON MAPPATO",$I263=""),"",$L263*$M263)</f>
        <v/>
      </c>
    </row>
    <row r="264" customFormat="false" ht="15" hidden="false" customHeight="false" outlineLevel="0" collapsed="false">
      <c r="A264" s="6"/>
      <c r="B264" s="7"/>
      <c r="C264" s="6"/>
      <c r="D264" s="6"/>
      <c r="E264" s="6"/>
      <c r="F264" s="8"/>
      <c r="G264" s="9"/>
      <c r="H264" s="7"/>
      <c r="I264" s="6" t="str">
        <f aca="false">IF($A264="","",IFERROR(VLOOKUP($A264,Transcodifica!$A$5:$J$400,5,FALSE()),"NON MAPPATO"))</f>
        <v/>
      </c>
      <c r="J264" s="6" t="str">
        <f aca="false">IF($A264="","",IFERROR(VLOOKUP($A264,Transcodifica!$A$5:$J$400,7,FALSE()),""))</f>
        <v/>
      </c>
      <c r="K264" s="6" t="str">
        <f aca="false">IF($A264="","",IFERROR(VLOOKUP($A264,Transcodifica!$A$5:$J$400,8,FALSE()),""))</f>
        <v/>
      </c>
      <c r="L264" s="6" t="str">
        <f aca="false">IF($A264="","",IFERROR(VLOOKUP($A264,Transcodifica!$A$5:$J$400,9,FALSE()),""))</f>
        <v/>
      </c>
      <c r="M264" s="8" t="str">
        <f aca="false">IF($A264="","",IF($E264="APPROVATO",1,IF($E264="In svolgimento",IF($F264="",0,$F264),0)))</f>
        <v/>
      </c>
      <c r="N264" s="10" t="str">
        <f aca="false">IF(OR($A264="",$I264="NON MAPPATO",$I264=""),"",$L264*$M264)</f>
        <v/>
      </c>
    </row>
    <row r="265" customFormat="false" ht="15" hidden="false" customHeight="false" outlineLevel="0" collapsed="false">
      <c r="A265" s="6"/>
      <c r="B265" s="7"/>
      <c r="C265" s="6"/>
      <c r="D265" s="6"/>
      <c r="E265" s="6"/>
      <c r="F265" s="8"/>
      <c r="G265" s="9"/>
      <c r="H265" s="7"/>
      <c r="I265" s="6" t="str">
        <f aca="false">IF($A265="","",IFERROR(VLOOKUP($A265,Transcodifica!$A$5:$J$400,5,FALSE()),"NON MAPPATO"))</f>
        <v/>
      </c>
      <c r="J265" s="6" t="str">
        <f aca="false">IF($A265="","",IFERROR(VLOOKUP($A265,Transcodifica!$A$5:$J$400,7,FALSE()),""))</f>
        <v/>
      </c>
      <c r="K265" s="6" t="str">
        <f aca="false">IF($A265="","",IFERROR(VLOOKUP($A265,Transcodifica!$A$5:$J$400,8,FALSE()),""))</f>
        <v/>
      </c>
      <c r="L265" s="6" t="str">
        <f aca="false">IF($A265="","",IFERROR(VLOOKUP($A265,Transcodifica!$A$5:$J$400,9,FALSE()),""))</f>
        <v/>
      </c>
      <c r="M265" s="8" t="str">
        <f aca="false">IF($A265="","",IF($E265="APPROVATO",1,IF($E265="In svolgimento",IF($F265="",0,$F265),0)))</f>
        <v/>
      </c>
      <c r="N265" s="10" t="str">
        <f aca="false">IF(OR($A265="",$I265="NON MAPPATO",$I265=""),"",$L265*$M265)</f>
        <v/>
      </c>
    </row>
    <row r="266" customFormat="false" ht="15" hidden="false" customHeight="false" outlineLevel="0" collapsed="false">
      <c r="A266" s="6"/>
      <c r="B266" s="7"/>
      <c r="C266" s="6"/>
      <c r="D266" s="6"/>
      <c r="E266" s="6"/>
      <c r="F266" s="8"/>
      <c r="G266" s="9"/>
      <c r="H266" s="7"/>
      <c r="I266" s="6" t="str">
        <f aca="false">IF($A266="","",IFERROR(VLOOKUP($A266,Transcodifica!$A$5:$J$400,5,FALSE()),"NON MAPPATO"))</f>
        <v/>
      </c>
      <c r="J266" s="6" t="str">
        <f aca="false">IF($A266="","",IFERROR(VLOOKUP($A266,Transcodifica!$A$5:$J$400,7,FALSE()),""))</f>
        <v/>
      </c>
      <c r="K266" s="6" t="str">
        <f aca="false">IF($A266="","",IFERROR(VLOOKUP($A266,Transcodifica!$A$5:$J$400,8,FALSE()),""))</f>
        <v/>
      </c>
      <c r="L266" s="6" t="str">
        <f aca="false">IF($A266="","",IFERROR(VLOOKUP($A266,Transcodifica!$A$5:$J$400,9,FALSE()),""))</f>
        <v/>
      </c>
      <c r="M266" s="8" t="str">
        <f aca="false">IF($A266="","",IF($E266="APPROVATO",1,IF($E266="In svolgimento",IF($F266="",0,$F266),0)))</f>
        <v/>
      </c>
      <c r="N266" s="10" t="str">
        <f aca="false">IF(OR($A266="",$I266="NON MAPPATO",$I266=""),"",$L266*$M266)</f>
        <v/>
      </c>
    </row>
    <row r="267" customFormat="false" ht="15" hidden="false" customHeight="false" outlineLevel="0" collapsed="false">
      <c r="A267" s="6"/>
      <c r="B267" s="7"/>
      <c r="C267" s="6"/>
      <c r="D267" s="6"/>
      <c r="E267" s="6"/>
      <c r="F267" s="8"/>
      <c r="G267" s="9"/>
      <c r="H267" s="7"/>
      <c r="I267" s="6" t="str">
        <f aca="false">IF($A267="","",IFERROR(VLOOKUP($A267,Transcodifica!$A$5:$J$400,5,FALSE()),"NON MAPPATO"))</f>
        <v/>
      </c>
      <c r="J267" s="6" t="str">
        <f aca="false">IF($A267="","",IFERROR(VLOOKUP($A267,Transcodifica!$A$5:$J$400,7,FALSE()),""))</f>
        <v/>
      </c>
      <c r="K267" s="6" t="str">
        <f aca="false">IF($A267="","",IFERROR(VLOOKUP($A267,Transcodifica!$A$5:$J$400,8,FALSE()),""))</f>
        <v/>
      </c>
      <c r="L267" s="6" t="str">
        <f aca="false">IF($A267="","",IFERROR(VLOOKUP($A267,Transcodifica!$A$5:$J$400,9,FALSE()),""))</f>
        <v/>
      </c>
      <c r="M267" s="8" t="str">
        <f aca="false">IF($A267="","",IF($E267="APPROVATO",1,IF($E267="In svolgimento",IF($F267="",0,$F267),0)))</f>
        <v/>
      </c>
      <c r="N267" s="10" t="str">
        <f aca="false">IF(OR($A267="",$I267="NON MAPPATO",$I267=""),"",$L267*$M267)</f>
        <v/>
      </c>
    </row>
    <row r="268" customFormat="false" ht="15" hidden="false" customHeight="false" outlineLevel="0" collapsed="false">
      <c r="A268" s="6"/>
      <c r="B268" s="7"/>
      <c r="C268" s="6"/>
      <c r="D268" s="6"/>
      <c r="E268" s="6"/>
      <c r="F268" s="8"/>
      <c r="G268" s="9"/>
      <c r="H268" s="7"/>
      <c r="I268" s="6" t="str">
        <f aca="false">IF($A268="","",IFERROR(VLOOKUP($A268,Transcodifica!$A$5:$J$400,5,FALSE()),"NON MAPPATO"))</f>
        <v/>
      </c>
      <c r="J268" s="6" t="str">
        <f aca="false">IF($A268="","",IFERROR(VLOOKUP($A268,Transcodifica!$A$5:$J$400,7,FALSE()),""))</f>
        <v/>
      </c>
      <c r="K268" s="6" t="str">
        <f aca="false">IF($A268="","",IFERROR(VLOOKUP($A268,Transcodifica!$A$5:$J$400,8,FALSE()),""))</f>
        <v/>
      </c>
      <c r="L268" s="6" t="str">
        <f aca="false">IF($A268="","",IFERROR(VLOOKUP($A268,Transcodifica!$A$5:$J$400,9,FALSE()),""))</f>
        <v/>
      </c>
      <c r="M268" s="8" t="str">
        <f aca="false">IF($A268="","",IF($E268="APPROVATO",1,IF($E268="In svolgimento",IF($F268="",0,$F268),0)))</f>
        <v/>
      </c>
      <c r="N268" s="10" t="str">
        <f aca="false">IF(OR($A268="",$I268="NON MAPPATO",$I268=""),"",$L268*$M268)</f>
        <v/>
      </c>
    </row>
    <row r="269" customFormat="false" ht="15" hidden="false" customHeight="false" outlineLevel="0" collapsed="false">
      <c r="A269" s="6"/>
      <c r="B269" s="7"/>
      <c r="C269" s="6"/>
      <c r="D269" s="6"/>
      <c r="E269" s="6"/>
      <c r="F269" s="8"/>
      <c r="G269" s="9"/>
      <c r="H269" s="7"/>
      <c r="I269" s="6" t="str">
        <f aca="false">IF($A269="","",IFERROR(VLOOKUP($A269,Transcodifica!$A$5:$J$400,5,FALSE()),"NON MAPPATO"))</f>
        <v/>
      </c>
      <c r="J269" s="6" t="str">
        <f aca="false">IF($A269="","",IFERROR(VLOOKUP($A269,Transcodifica!$A$5:$J$400,7,FALSE()),""))</f>
        <v/>
      </c>
      <c r="K269" s="6" t="str">
        <f aca="false">IF($A269="","",IFERROR(VLOOKUP($A269,Transcodifica!$A$5:$J$400,8,FALSE()),""))</f>
        <v/>
      </c>
      <c r="L269" s="6" t="str">
        <f aca="false">IF($A269="","",IFERROR(VLOOKUP($A269,Transcodifica!$A$5:$J$400,9,FALSE()),""))</f>
        <v/>
      </c>
      <c r="M269" s="8" t="str">
        <f aca="false">IF($A269="","",IF($E269="APPROVATO",1,IF($E269="In svolgimento",IF($F269="",0,$F269),0)))</f>
        <v/>
      </c>
      <c r="N269" s="10" t="str">
        <f aca="false">IF(OR($A269="",$I269="NON MAPPATO",$I269=""),"",$L269*$M269)</f>
        <v/>
      </c>
    </row>
    <row r="270" customFormat="false" ht="15" hidden="false" customHeight="false" outlineLevel="0" collapsed="false">
      <c r="A270" s="6"/>
      <c r="B270" s="7"/>
      <c r="C270" s="6"/>
      <c r="D270" s="6"/>
      <c r="E270" s="6"/>
      <c r="F270" s="8"/>
      <c r="G270" s="9"/>
      <c r="H270" s="7"/>
      <c r="I270" s="6" t="str">
        <f aca="false">IF($A270="","",IFERROR(VLOOKUP($A270,Transcodifica!$A$5:$J$400,5,FALSE()),"NON MAPPATO"))</f>
        <v/>
      </c>
      <c r="J270" s="6" t="str">
        <f aca="false">IF($A270="","",IFERROR(VLOOKUP($A270,Transcodifica!$A$5:$J$400,7,FALSE()),""))</f>
        <v/>
      </c>
      <c r="K270" s="6" t="str">
        <f aca="false">IF($A270="","",IFERROR(VLOOKUP($A270,Transcodifica!$A$5:$J$400,8,FALSE()),""))</f>
        <v/>
      </c>
      <c r="L270" s="6" t="str">
        <f aca="false">IF($A270="","",IFERROR(VLOOKUP($A270,Transcodifica!$A$5:$J$400,9,FALSE()),""))</f>
        <v/>
      </c>
      <c r="M270" s="8" t="str">
        <f aca="false">IF($A270="","",IF($E270="APPROVATO",1,IF($E270="In svolgimento",IF($F270="",0,$F270),0)))</f>
        <v/>
      </c>
      <c r="N270" s="10" t="str">
        <f aca="false">IF(OR($A270="",$I270="NON MAPPATO",$I270=""),"",$L270*$M270)</f>
        <v/>
      </c>
    </row>
    <row r="271" customFormat="false" ht="15" hidden="false" customHeight="false" outlineLevel="0" collapsed="false">
      <c r="A271" s="6"/>
      <c r="B271" s="7"/>
      <c r="C271" s="6"/>
      <c r="D271" s="6"/>
      <c r="E271" s="6"/>
      <c r="F271" s="8"/>
      <c r="G271" s="9"/>
      <c r="H271" s="7"/>
      <c r="I271" s="6" t="str">
        <f aca="false">IF($A271="","",IFERROR(VLOOKUP($A271,Transcodifica!$A$5:$J$400,5,FALSE()),"NON MAPPATO"))</f>
        <v/>
      </c>
      <c r="J271" s="6" t="str">
        <f aca="false">IF($A271="","",IFERROR(VLOOKUP($A271,Transcodifica!$A$5:$J$400,7,FALSE()),""))</f>
        <v/>
      </c>
      <c r="K271" s="6" t="str">
        <f aca="false">IF($A271="","",IFERROR(VLOOKUP($A271,Transcodifica!$A$5:$J$400,8,FALSE()),""))</f>
        <v/>
      </c>
      <c r="L271" s="6" t="str">
        <f aca="false">IF($A271="","",IFERROR(VLOOKUP($A271,Transcodifica!$A$5:$J$400,9,FALSE()),""))</f>
        <v/>
      </c>
      <c r="M271" s="8" t="str">
        <f aca="false">IF($A271="","",IF($E271="APPROVATO",1,IF($E271="In svolgimento",IF($F271="",0,$F271),0)))</f>
        <v/>
      </c>
      <c r="N271" s="10" t="str">
        <f aca="false">IF(OR($A271="",$I271="NON MAPPATO",$I271=""),"",$L271*$M271)</f>
        <v/>
      </c>
    </row>
    <row r="272" customFormat="false" ht="15" hidden="false" customHeight="false" outlineLevel="0" collapsed="false">
      <c r="A272" s="6"/>
      <c r="B272" s="7"/>
      <c r="C272" s="6"/>
      <c r="D272" s="6"/>
      <c r="E272" s="6"/>
      <c r="F272" s="8"/>
      <c r="G272" s="9"/>
      <c r="H272" s="7"/>
      <c r="I272" s="6" t="str">
        <f aca="false">IF($A272="","",IFERROR(VLOOKUP($A272,Transcodifica!$A$5:$J$400,5,FALSE()),"NON MAPPATO"))</f>
        <v/>
      </c>
      <c r="J272" s="6" t="str">
        <f aca="false">IF($A272="","",IFERROR(VLOOKUP($A272,Transcodifica!$A$5:$J$400,7,FALSE()),""))</f>
        <v/>
      </c>
      <c r="K272" s="6" t="str">
        <f aca="false">IF($A272="","",IFERROR(VLOOKUP($A272,Transcodifica!$A$5:$J$400,8,FALSE()),""))</f>
        <v/>
      </c>
      <c r="L272" s="6" t="str">
        <f aca="false">IF($A272="","",IFERROR(VLOOKUP($A272,Transcodifica!$A$5:$J$400,9,FALSE()),""))</f>
        <v/>
      </c>
      <c r="M272" s="8" t="str">
        <f aca="false">IF($A272="","",IF($E272="APPROVATO",1,IF($E272="In svolgimento",IF($F272="",0,$F272),0)))</f>
        <v/>
      </c>
      <c r="N272" s="10" t="str">
        <f aca="false">IF(OR($A272="",$I272="NON MAPPATO",$I272=""),"",$L272*$M272)</f>
        <v/>
      </c>
    </row>
    <row r="273" customFormat="false" ht="15" hidden="false" customHeight="false" outlineLevel="0" collapsed="false">
      <c r="A273" s="6"/>
      <c r="B273" s="7"/>
      <c r="C273" s="6"/>
      <c r="D273" s="6"/>
      <c r="E273" s="6"/>
      <c r="F273" s="8"/>
      <c r="G273" s="9"/>
      <c r="H273" s="7"/>
      <c r="I273" s="6" t="str">
        <f aca="false">IF($A273="","",IFERROR(VLOOKUP($A273,Transcodifica!$A$5:$J$400,5,FALSE()),"NON MAPPATO"))</f>
        <v/>
      </c>
      <c r="J273" s="6" t="str">
        <f aca="false">IF($A273="","",IFERROR(VLOOKUP($A273,Transcodifica!$A$5:$J$400,7,FALSE()),""))</f>
        <v/>
      </c>
      <c r="K273" s="6" t="str">
        <f aca="false">IF($A273="","",IFERROR(VLOOKUP($A273,Transcodifica!$A$5:$J$400,8,FALSE()),""))</f>
        <v/>
      </c>
      <c r="L273" s="6" t="str">
        <f aca="false">IF($A273="","",IFERROR(VLOOKUP($A273,Transcodifica!$A$5:$J$400,9,FALSE()),""))</f>
        <v/>
      </c>
      <c r="M273" s="8" t="str">
        <f aca="false">IF($A273="","",IF($E273="APPROVATO",1,IF($E273="In svolgimento",IF($F273="",0,$F273),0)))</f>
        <v/>
      </c>
      <c r="N273" s="10" t="str">
        <f aca="false">IF(OR($A273="",$I273="NON MAPPATO",$I273=""),"",$L273*$M273)</f>
        <v/>
      </c>
    </row>
    <row r="274" customFormat="false" ht="15" hidden="false" customHeight="false" outlineLevel="0" collapsed="false">
      <c r="A274" s="6"/>
      <c r="B274" s="7"/>
      <c r="C274" s="6"/>
      <c r="D274" s="6"/>
      <c r="E274" s="6"/>
      <c r="F274" s="8"/>
      <c r="G274" s="9"/>
      <c r="H274" s="7"/>
      <c r="I274" s="6" t="str">
        <f aca="false">IF($A274="","",IFERROR(VLOOKUP($A274,Transcodifica!$A$5:$J$400,5,FALSE()),"NON MAPPATO"))</f>
        <v/>
      </c>
      <c r="J274" s="6" t="str">
        <f aca="false">IF($A274="","",IFERROR(VLOOKUP($A274,Transcodifica!$A$5:$J$400,7,FALSE()),""))</f>
        <v/>
      </c>
      <c r="K274" s="6" t="str">
        <f aca="false">IF($A274="","",IFERROR(VLOOKUP($A274,Transcodifica!$A$5:$J$400,8,FALSE()),""))</f>
        <v/>
      </c>
      <c r="L274" s="6" t="str">
        <f aca="false">IF($A274="","",IFERROR(VLOOKUP($A274,Transcodifica!$A$5:$J$400,9,FALSE()),""))</f>
        <v/>
      </c>
      <c r="M274" s="8" t="str">
        <f aca="false">IF($A274="","",IF($E274="APPROVATO",1,IF($E274="In svolgimento",IF($F274="",0,$F274),0)))</f>
        <v/>
      </c>
      <c r="N274" s="10" t="str">
        <f aca="false">IF(OR($A274="",$I274="NON MAPPATO",$I274=""),"",$L274*$M274)</f>
        <v/>
      </c>
    </row>
    <row r="275" customFormat="false" ht="15" hidden="false" customHeight="false" outlineLevel="0" collapsed="false">
      <c r="A275" s="6"/>
      <c r="B275" s="7"/>
      <c r="C275" s="6"/>
      <c r="D275" s="6"/>
      <c r="E275" s="6"/>
      <c r="F275" s="8"/>
      <c r="G275" s="9"/>
      <c r="H275" s="7"/>
      <c r="I275" s="6" t="str">
        <f aca="false">IF($A275="","",IFERROR(VLOOKUP($A275,Transcodifica!$A$5:$J$400,5,FALSE()),"NON MAPPATO"))</f>
        <v/>
      </c>
      <c r="J275" s="6" t="str">
        <f aca="false">IF($A275="","",IFERROR(VLOOKUP($A275,Transcodifica!$A$5:$J$400,7,FALSE()),""))</f>
        <v/>
      </c>
      <c r="K275" s="6" t="str">
        <f aca="false">IF($A275="","",IFERROR(VLOOKUP($A275,Transcodifica!$A$5:$J$400,8,FALSE()),""))</f>
        <v/>
      </c>
      <c r="L275" s="6" t="str">
        <f aca="false">IF($A275="","",IFERROR(VLOOKUP($A275,Transcodifica!$A$5:$J$400,9,FALSE()),""))</f>
        <v/>
      </c>
      <c r="M275" s="8" t="str">
        <f aca="false">IF($A275="","",IF($E275="APPROVATO",1,IF($E275="In svolgimento",IF($F275="",0,$F275),0)))</f>
        <v/>
      </c>
      <c r="N275" s="10" t="str">
        <f aca="false">IF(OR($A275="",$I275="NON MAPPATO",$I275=""),"",$L275*$M275)</f>
        <v/>
      </c>
    </row>
    <row r="276" customFormat="false" ht="15" hidden="false" customHeight="false" outlineLevel="0" collapsed="false">
      <c r="A276" s="6"/>
      <c r="B276" s="7"/>
      <c r="C276" s="6"/>
      <c r="D276" s="6"/>
      <c r="E276" s="6"/>
      <c r="F276" s="8"/>
      <c r="G276" s="9"/>
      <c r="H276" s="7"/>
      <c r="I276" s="6" t="str">
        <f aca="false">IF($A276="","",IFERROR(VLOOKUP($A276,Transcodifica!$A$5:$J$400,5,FALSE()),"NON MAPPATO"))</f>
        <v/>
      </c>
      <c r="J276" s="6" t="str">
        <f aca="false">IF($A276="","",IFERROR(VLOOKUP($A276,Transcodifica!$A$5:$J$400,7,FALSE()),""))</f>
        <v/>
      </c>
      <c r="K276" s="6" t="str">
        <f aca="false">IF($A276="","",IFERROR(VLOOKUP($A276,Transcodifica!$A$5:$J$400,8,FALSE()),""))</f>
        <v/>
      </c>
      <c r="L276" s="6" t="str">
        <f aca="false">IF($A276="","",IFERROR(VLOOKUP($A276,Transcodifica!$A$5:$J$400,9,FALSE()),""))</f>
        <v/>
      </c>
      <c r="M276" s="8" t="str">
        <f aca="false">IF($A276="","",IF($E276="APPROVATO",1,IF($E276="In svolgimento",IF($F276="",0,$F276),0)))</f>
        <v/>
      </c>
      <c r="N276" s="10" t="str">
        <f aca="false">IF(OR($A276="",$I276="NON MAPPATO",$I276=""),"",$L276*$M276)</f>
        <v/>
      </c>
    </row>
    <row r="277" customFormat="false" ht="15" hidden="false" customHeight="false" outlineLevel="0" collapsed="false">
      <c r="A277" s="6"/>
      <c r="B277" s="7"/>
      <c r="C277" s="6"/>
      <c r="D277" s="6"/>
      <c r="E277" s="6"/>
      <c r="F277" s="8"/>
      <c r="G277" s="9"/>
      <c r="H277" s="7"/>
      <c r="I277" s="6" t="str">
        <f aca="false">IF($A277="","",IFERROR(VLOOKUP($A277,Transcodifica!$A$5:$J$400,5,FALSE()),"NON MAPPATO"))</f>
        <v/>
      </c>
      <c r="J277" s="6" t="str">
        <f aca="false">IF($A277="","",IFERROR(VLOOKUP($A277,Transcodifica!$A$5:$J$400,7,FALSE()),""))</f>
        <v/>
      </c>
      <c r="K277" s="6" t="str">
        <f aca="false">IF($A277="","",IFERROR(VLOOKUP($A277,Transcodifica!$A$5:$J$400,8,FALSE()),""))</f>
        <v/>
      </c>
      <c r="L277" s="6" t="str">
        <f aca="false">IF($A277="","",IFERROR(VLOOKUP($A277,Transcodifica!$A$5:$J$400,9,FALSE()),""))</f>
        <v/>
      </c>
      <c r="M277" s="8" t="str">
        <f aca="false">IF($A277="","",IF($E277="APPROVATO",1,IF($E277="In svolgimento",IF($F277="",0,$F277),0)))</f>
        <v/>
      </c>
      <c r="N277" s="10" t="str">
        <f aca="false">IF(OR($A277="",$I277="NON MAPPATO",$I277=""),"",$L277*$M277)</f>
        <v/>
      </c>
    </row>
    <row r="278" customFormat="false" ht="15" hidden="false" customHeight="false" outlineLevel="0" collapsed="false">
      <c r="A278" s="6"/>
      <c r="B278" s="7"/>
      <c r="C278" s="6"/>
      <c r="D278" s="6"/>
      <c r="E278" s="6"/>
      <c r="F278" s="8"/>
      <c r="G278" s="9"/>
      <c r="H278" s="7"/>
      <c r="I278" s="6" t="str">
        <f aca="false">IF($A278="","",IFERROR(VLOOKUP($A278,Transcodifica!$A$5:$J$400,5,FALSE()),"NON MAPPATO"))</f>
        <v/>
      </c>
      <c r="J278" s="6" t="str">
        <f aca="false">IF($A278="","",IFERROR(VLOOKUP($A278,Transcodifica!$A$5:$J$400,7,FALSE()),""))</f>
        <v/>
      </c>
      <c r="K278" s="6" t="str">
        <f aca="false">IF($A278="","",IFERROR(VLOOKUP($A278,Transcodifica!$A$5:$J$400,8,FALSE()),""))</f>
        <v/>
      </c>
      <c r="L278" s="6" t="str">
        <f aca="false">IF($A278="","",IFERROR(VLOOKUP($A278,Transcodifica!$A$5:$J$400,9,FALSE()),""))</f>
        <v/>
      </c>
      <c r="M278" s="8" t="str">
        <f aca="false">IF($A278="","",IF($E278="APPROVATO",1,IF($E278="In svolgimento",IF($F278="",0,$F278),0)))</f>
        <v/>
      </c>
      <c r="N278" s="10" t="str">
        <f aca="false">IF(OR($A278="",$I278="NON MAPPATO",$I278=""),"",$L278*$M278)</f>
        <v/>
      </c>
    </row>
    <row r="279" customFormat="false" ht="15" hidden="false" customHeight="false" outlineLevel="0" collapsed="false">
      <c r="A279" s="6"/>
      <c r="B279" s="7"/>
      <c r="C279" s="6"/>
      <c r="D279" s="6"/>
      <c r="E279" s="6"/>
      <c r="F279" s="8"/>
      <c r="G279" s="9"/>
      <c r="H279" s="7"/>
      <c r="I279" s="6" t="str">
        <f aca="false">IF($A279="","",IFERROR(VLOOKUP($A279,Transcodifica!$A$5:$J$400,5,FALSE()),"NON MAPPATO"))</f>
        <v/>
      </c>
      <c r="J279" s="6" t="str">
        <f aca="false">IF($A279="","",IFERROR(VLOOKUP($A279,Transcodifica!$A$5:$J$400,7,FALSE()),""))</f>
        <v/>
      </c>
      <c r="K279" s="6" t="str">
        <f aca="false">IF($A279="","",IFERROR(VLOOKUP($A279,Transcodifica!$A$5:$J$400,8,FALSE()),""))</f>
        <v/>
      </c>
      <c r="L279" s="6" t="str">
        <f aca="false">IF($A279="","",IFERROR(VLOOKUP($A279,Transcodifica!$A$5:$J$400,9,FALSE()),""))</f>
        <v/>
      </c>
      <c r="M279" s="8" t="str">
        <f aca="false">IF($A279="","",IF($E279="APPROVATO",1,IF($E279="In svolgimento",IF($F279="",0,$F279),0)))</f>
        <v/>
      </c>
      <c r="N279" s="10" t="str">
        <f aca="false">IF(OR($A279="",$I279="NON MAPPATO",$I279=""),"",$L279*$M279)</f>
        <v/>
      </c>
    </row>
    <row r="280" customFormat="false" ht="15" hidden="false" customHeight="false" outlineLevel="0" collapsed="false">
      <c r="A280" s="6"/>
      <c r="B280" s="7"/>
      <c r="C280" s="6"/>
      <c r="D280" s="6"/>
      <c r="E280" s="6"/>
      <c r="F280" s="8"/>
      <c r="G280" s="9"/>
      <c r="H280" s="7"/>
      <c r="I280" s="6" t="str">
        <f aca="false">IF($A280="","",IFERROR(VLOOKUP($A280,Transcodifica!$A$5:$J$400,5,FALSE()),"NON MAPPATO"))</f>
        <v/>
      </c>
      <c r="J280" s="6" t="str">
        <f aca="false">IF($A280="","",IFERROR(VLOOKUP($A280,Transcodifica!$A$5:$J$400,7,FALSE()),""))</f>
        <v/>
      </c>
      <c r="K280" s="6" t="str">
        <f aca="false">IF($A280="","",IFERROR(VLOOKUP($A280,Transcodifica!$A$5:$J$400,8,FALSE()),""))</f>
        <v/>
      </c>
      <c r="L280" s="6" t="str">
        <f aca="false">IF($A280="","",IFERROR(VLOOKUP($A280,Transcodifica!$A$5:$J$400,9,FALSE()),""))</f>
        <v/>
      </c>
      <c r="M280" s="8" t="str">
        <f aca="false">IF($A280="","",IF($E280="APPROVATO",1,IF($E280="In svolgimento",IF($F280="",0,$F280),0)))</f>
        <v/>
      </c>
      <c r="N280" s="10" t="str">
        <f aca="false">IF(OR($A280="",$I280="NON MAPPATO",$I280=""),"",$L280*$M280)</f>
        <v/>
      </c>
    </row>
    <row r="281" customFormat="false" ht="15" hidden="false" customHeight="false" outlineLevel="0" collapsed="false">
      <c r="A281" s="6"/>
      <c r="B281" s="7"/>
      <c r="C281" s="6"/>
      <c r="D281" s="6"/>
      <c r="E281" s="6"/>
      <c r="F281" s="8"/>
      <c r="G281" s="9"/>
      <c r="H281" s="7"/>
      <c r="I281" s="6" t="str">
        <f aca="false">IF($A281="","",IFERROR(VLOOKUP($A281,Transcodifica!$A$5:$J$400,5,FALSE()),"NON MAPPATO"))</f>
        <v/>
      </c>
      <c r="J281" s="6" t="str">
        <f aca="false">IF($A281="","",IFERROR(VLOOKUP($A281,Transcodifica!$A$5:$J$400,7,FALSE()),""))</f>
        <v/>
      </c>
      <c r="K281" s="6" t="str">
        <f aca="false">IF($A281="","",IFERROR(VLOOKUP($A281,Transcodifica!$A$5:$J$400,8,FALSE()),""))</f>
        <v/>
      </c>
      <c r="L281" s="6" t="str">
        <f aca="false">IF($A281="","",IFERROR(VLOOKUP($A281,Transcodifica!$A$5:$J$400,9,FALSE()),""))</f>
        <v/>
      </c>
      <c r="M281" s="8" t="str">
        <f aca="false">IF($A281="","",IF($E281="APPROVATO",1,IF($E281="In svolgimento",IF($F281="",0,$F281),0)))</f>
        <v/>
      </c>
      <c r="N281" s="10" t="str">
        <f aca="false">IF(OR($A281="",$I281="NON MAPPATO",$I281=""),"",$L281*$M281)</f>
        <v/>
      </c>
    </row>
    <row r="282" customFormat="false" ht="15" hidden="false" customHeight="false" outlineLevel="0" collapsed="false">
      <c r="A282" s="6"/>
      <c r="B282" s="7"/>
      <c r="C282" s="6"/>
      <c r="D282" s="6"/>
      <c r="E282" s="6"/>
      <c r="F282" s="8"/>
      <c r="G282" s="9"/>
      <c r="H282" s="7"/>
      <c r="I282" s="6" t="str">
        <f aca="false">IF($A282="","",IFERROR(VLOOKUP($A282,Transcodifica!$A$5:$J$400,5,FALSE()),"NON MAPPATO"))</f>
        <v/>
      </c>
      <c r="J282" s="6" t="str">
        <f aca="false">IF($A282="","",IFERROR(VLOOKUP($A282,Transcodifica!$A$5:$J$400,7,FALSE()),""))</f>
        <v/>
      </c>
      <c r="K282" s="6" t="str">
        <f aca="false">IF($A282="","",IFERROR(VLOOKUP($A282,Transcodifica!$A$5:$J$400,8,FALSE()),""))</f>
        <v/>
      </c>
      <c r="L282" s="6" t="str">
        <f aca="false">IF($A282="","",IFERROR(VLOOKUP($A282,Transcodifica!$A$5:$J$400,9,FALSE()),""))</f>
        <v/>
      </c>
      <c r="M282" s="8" t="str">
        <f aca="false">IF($A282="","",IF($E282="APPROVATO",1,IF($E282="In svolgimento",IF($F282="",0,$F282),0)))</f>
        <v/>
      </c>
      <c r="N282" s="10" t="str">
        <f aca="false">IF(OR($A282="",$I282="NON MAPPATO",$I282=""),"",$L282*$M282)</f>
        <v/>
      </c>
    </row>
    <row r="283" customFormat="false" ht="15" hidden="false" customHeight="false" outlineLevel="0" collapsed="false">
      <c r="A283" s="6"/>
      <c r="B283" s="7"/>
      <c r="C283" s="6"/>
      <c r="D283" s="6"/>
      <c r="E283" s="6"/>
      <c r="F283" s="8"/>
      <c r="G283" s="9"/>
      <c r="H283" s="7"/>
      <c r="I283" s="6" t="str">
        <f aca="false">IF($A283="","",IFERROR(VLOOKUP($A283,Transcodifica!$A$5:$J$400,5,FALSE()),"NON MAPPATO"))</f>
        <v/>
      </c>
      <c r="J283" s="6" t="str">
        <f aca="false">IF($A283="","",IFERROR(VLOOKUP($A283,Transcodifica!$A$5:$J$400,7,FALSE()),""))</f>
        <v/>
      </c>
      <c r="K283" s="6" t="str">
        <f aca="false">IF($A283="","",IFERROR(VLOOKUP($A283,Transcodifica!$A$5:$J$400,8,FALSE()),""))</f>
        <v/>
      </c>
      <c r="L283" s="6" t="str">
        <f aca="false">IF($A283="","",IFERROR(VLOOKUP($A283,Transcodifica!$A$5:$J$400,9,FALSE()),""))</f>
        <v/>
      </c>
      <c r="M283" s="8" t="str">
        <f aca="false">IF($A283="","",IF($E283="APPROVATO",1,IF($E283="In svolgimento",IF($F283="",0,$F283),0)))</f>
        <v/>
      </c>
      <c r="N283" s="10" t="str">
        <f aca="false">IF(OR($A283="",$I283="NON MAPPATO",$I283=""),"",$L283*$M283)</f>
        <v/>
      </c>
    </row>
    <row r="284" customFormat="false" ht="15" hidden="false" customHeight="false" outlineLevel="0" collapsed="false">
      <c r="A284" s="6"/>
      <c r="B284" s="7"/>
      <c r="C284" s="6"/>
      <c r="D284" s="6"/>
      <c r="E284" s="6"/>
      <c r="F284" s="8"/>
      <c r="G284" s="9"/>
      <c r="H284" s="7"/>
      <c r="I284" s="6" t="str">
        <f aca="false">IF($A284="","",IFERROR(VLOOKUP($A284,Transcodifica!$A$5:$J$400,5,FALSE()),"NON MAPPATO"))</f>
        <v/>
      </c>
      <c r="J284" s="6" t="str">
        <f aca="false">IF($A284="","",IFERROR(VLOOKUP($A284,Transcodifica!$A$5:$J$400,7,FALSE()),""))</f>
        <v/>
      </c>
      <c r="K284" s="6" t="str">
        <f aca="false">IF($A284="","",IFERROR(VLOOKUP($A284,Transcodifica!$A$5:$J$400,8,FALSE()),""))</f>
        <v/>
      </c>
      <c r="L284" s="6" t="str">
        <f aca="false">IF($A284="","",IFERROR(VLOOKUP($A284,Transcodifica!$A$5:$J$400,9,FALSE()),""))</f>
        <v/>
      </c>
      <c r="M284" s="8" t="str">
        <f aca="false">IF($A284="","",IF($E284="APPROVATO",1,IF($E284="In svolgimento",IF($F284="",0,$F284),0)))</f>
        <v/>
      </c>
      <c r="N284" s="10" t="str">
        <f aca="false">IF(OR($A284="",$I284="NON MAPPATO",$I284=""),"",$L284*$M284)</f>
        <v/>
      </c>
    </row>
    <row r="285" customFormat="false" ht="15" hidden="false" customHeight="false" outlineLevel="0" collapsed="false">
      <c r="A285" s="6"/>
      <c r="B285" s="7"/>
      <c r="C285" s="6"/>
      <c r="D285" s="6"/>
      <c r="E285" s="6"/>
      <c r="F285" s="8"/>
      <c r="G285" s="9"/>
      <c r="H285" s="7"/>
      <c r="I285" s="6" t="str">
        <f aca="false">IF($A285="","",IFERROR(VLOOKUP($A285,Transcodifica!$A$5:$J$400,5,FALSE()),"NON MAPPATO"))</f>
        <v/>
      </c>
      <c r="J285" s="6" t="str">
        <f aca="false">IF($A285="","",IFERROR(VLOOKUP($A285,Transcodifica!$A$5:$J$400,7,FALSE()),""))</f>
        <v/>
      </c>
      <c r="K285" s="6" t="str">
        <f aca="false">IF($A285="","",IFERROR(VLOOKUP($A285,Transcodifica!$A$5:$J$400,8,FALSE()),""))</f>
        <v/>
      </c>
      <c r="L285" s="6" t="str">
        <f aca="false">IF($A285="","",IFERROR(VLOOKUP($A285,Transcodifica!$A$5:$J$400,9,FALSE()),""))</f>
        <v/>
      </c>
      <c r="M285" s="8" t="str">
        <f aca="false">IF($A285="","",IF($E285="APPROVATO",1,IF($E285="In svolgimento",IF($F285="",0,$F285),0)))</f>
        <v/>
      </c>
      <c r="N285" s="10" t="str">
        <f aca="false">IF(OR($A285="",$I285="NON MAPPATO",$I285=""),"",$L285*$M285)</f>
        <v/>
      </c>
    </row>
    <row r="286" customFormat="false" ht="15" hidden="false" customHeight="false" outlineLevel="0" collapsed="false">
      <c r="A286" s="6"/>
      <c r="B286" s="7"/>
      <c r="C286" s="6"/>
      <c r="D286" s="6"/>
      <c r="E286" s="6"/>
      <c r="F286" s="8"/>
      <c r="G286" s="9"/>
      <c r="H286" s="7"/>
      <c r="I286" s="6" t="str">
        <f aca="false">IF($A286="","",IFERROR(VLOOKUP($A286,Transcodifica!$A$5:$J$400,5,FALSE()),"NON MAPPATO"))</f>
        <v/>
      </c>
      <c r="J286" s="6" t="str">
        <f aca="false">IF($A286="","",IFERROR(VLOOKUP($A286,Transcodifica!$A$5:$J$400,7,FALSE()),""))</f>
        <v/>
      </c>
      <c r="K286" s="6" t="str">
        <f aca="false">IF($A286="","",IFERROR(VLOOKUP($A286,Transcodifica!$A$5:$J$400,8,FALSE()),""))</f>
        <v/>
      </c>
      <c r="L286" s="6" t="str">
        <f aca="false">IF($A286="","",IFERROR(VLOOKUP($A286,Transcodifica!$A$5:$J$400,9,FALSE()),""))</f>
        <v/>
      </c>
      <c r="M286" s="8" t="str">
        <f aca="false">IF($A286="","",IF($E286="APPROVATO",1,IF($E286="In svolgimento",IF($F286="",0,$F286),0)))</f>
        <v/>
      </c>
      <c r="N286" s="10" t="str">
        <f aca="false">IF(OR($A286="",$I286="NON MAPPATO",$I286=""),"",$L286*$M286)</f>
        <v/>
      </c>
    </row>
    <row r="287" customFormat="false" ht="15" hidden="false" customHeight="false" outlineLevel="0" collapsed="false">
      <c r="A287" s="6"/>
      <c r="B287" s="7"/>
      <c r="C287" s="6"/>
      <c r="D287" s="6"/>
      <c r="E287" s="6"/>
      <c r="F287" s="8"/>
      <c r="G287" s="9"/>
      <c r="H287" s="7"/>
      <c r="I287" s="6" t="str">
        <f aca="false">IF($A287="","",IFERROR(VLOOKUP($A287,Transcodifica!$A$5:$J$400,5,FALSE()),"NON MAPPATO"))</f>
        <v/>
      </c>
      <c r="J287" s="6" t="str">
        <f aca="false">IF($A287="","",IFERROR(VLOOKUP($A287,Transcodifica!$A$5:$J$400,7,FALSE()),""))</f>
        <v/>
      </c>
      <c r="K287" s="6" t="str">
        <f aca="false">IF($A287="","",IFERROR(VLOOKUP($A287,Transcodifica!$A$5:$J$400,8,FALSE()),""))</f>
        <v/>
      </c>
      <c r="L287" s="6" t="str">
        <f aca="false">IF($A287="","",IFERROR(VLOOKUP($A287,Transcodifica!$A$5:$J$400,9,FALSE()),""))</f>
        <v/>
      </c>
      <c r="M287" s="8" t="str">
        <f aca="false">IF($A287="","",IF($E287="APPROVATO",1,IF($E287="In svolgimento",IF($F287="",0,$F287),0)))</f>
        <v/>
      </c>
      <c r="N287" s="10" t="str">
        <f aca="false">IF(OR($A287="",$I287="NON MAPPATO",$I287=""),"",$L287*$M287)</f>
        <v/>
      </c>
    </row>
    <row r="288" customFormat="false" ht="15" hidden="false" customHeight="false" outlineLevel="0" collapsed="false">
      <c r="A288" s="6"/>
      <c r="B288" s="7"/>
      <c r="C288" s="6"/>
      <c r="D288" s="6"/>
      <c r="E288" s="6"/>
      <c r="F288" s="8"/>
      <c r="G288" s="9"/>
      <c r="H288" s="7"/>
      <c r="I288" s="6" t="str">
        <f aca="false">IF($A288="","",IFERROR(VLOOKUP($A288,Transcodifica!$A$5:$J$400,5,FALSE()),"NON MAPPATO"))</f>
        <v/>
      </c>
      <c r="J288" s="6" t="str">
        <f aca="false">IF($A288="","",IFERROR(VLOOKUP($A288,Transcodifica!$A$5:$J$400,7,FALSE()),""))</f>
        <v/>
      </c>
      <c r="K288" s="6" t="str">
        <f aca="false">IF($A288="","",IFERROR(VLOOKUP($A288,Transcodifica!$A$5:$J$400,8,FALSE()),""))</f>
        <v/>
      </c>
      <c r="L288" s="6" t="str">
        <f aca="false">IF($A288="","",IFERROR(VLOOKUP($A288,Transcodifica!$A$5:$J$400,9,FALSE()),""))</f>
        <v/>
      </c>
      <c r="M288" s="8" t="str">
        <f aca="false">IF($A288="","",IF($E288="APPROVATO",1,IF($E288="In svolgimento",IF($F288="",0,$F288),0)))</f>
        <v/>
      </c>
      <c r="N288" s="10" t="str">
        <f aca="false">IF(OR($A288="",$I288="NON MAPPATO",$I288=""),"",$L288*$M288)</f>
        <v/>
      </c>
    </row>
    <row r="289" customFormat="false" ht="15" hidden="false" customHeight="false" outlineLevel="0" collapsed="false">
      <c r="A289" s="6"/>
      <c r="B289" s="7"/>
      <c r="C289" s="6"/>
      <c r="D289" s="6"/>
      <c r="E289" s="6"/>
      <c r="F289" s="8"/>
      <c r="G289" s="9"/>
      <c r="H289" s="7"/>
      <c r="I289" s="6" t="str">
        <f aca="false">IF($A289="","",IFERROR(VLOOKUP($A289,Transcodifica!$A$5:$J$400,5,FALSE()),"NON MAPPATO"))</f>
        <v/>
      </c>
      <c r="J289" s="6" t="str">
        <f aca="false">IF($A289="","",IFERROR(VLOOKUP($A289,Transcodifica!$A$5:$J$400,7,FALSE()),""))</f>
        <v/>
      </c>
      <c r="K289" s="6" t="str">
        <f aca="false">IF($A289="","",IFERROR(VLOOKUP($A289,Transcodifica!$A$5:$J$400,8,FALSE()),""))</f>
        <v/>
      </c>
      <c r="L289" s="6" t="str">
        <f aca="false">IF($A289="","",IFERROR(VLOOKUP($A289,Transcodifica!$A$5:$J$400,9,FALSE()),""))</f>
        <v/>
      </c>
      <c r="M289" s="8" t="str">
        <f aca="false">IF($A289="","",IF($E289="APPROVATO",1,IF($E289="In svolgimento",IF($F289="",0,$F289),0)))</f>
        <v/>
      </c>
      <c r="N289" s="10" t="str">
        <f aca="false">IF(OR($A289="",$I289="NON MAPPATO",$I289=""),"",$L289*$M289)</f>
        <v/>
      </c>
    </row>
    <row r="290" customFormat="false" ht="15" hidden="false" customHeight="false" outlineLevel="0" collapsed="false">
      <c r="A290" s="6"/>
      <c r="B290" s="7"/>
      <c r="C290" s="6"/>
      <c r="D290" s="6"/>
      <c r="E290" s="6"/>
      <c r="F290" s="8"/>
      <c r="G290" s="9"/>
      <c r="H290" s="7"/>
      <c r="I290" s="6" t="str">
        <f aca="false">IF($A290="","",IFERROR(VLOOKUP($A290,Transcodifica!$A$5:$J$400,5,FALSE()),"NON MAPPATO"))</f>
        <v/>
      </c>
      <c r="J290" s="6" t="str">
        <f aca="false">IF($A290="","",IFERROR(VLOOKUP($A290,Transcodifica!$A$5:$J$400,7,FALSE()),""))</f>
        <v/>
      </c>
      <c r="K290" s="6" t="str">
        <f aca="false">IF($A290="","",IFERROR(VLOOKUP($A290,Transcodifica!$A$5:$J$400,8,FALSE()),""))</f>
        <v/>
      </c>
      <c r="L290" s="6" t="str">
        <f aca="false">IF($A290="","",IFERROR(VLOOKUP($A290,Transcodifica!$A$5:$J$400,9,FALSE()),""))</f>
        <v/>
      </c>
      <c r="M290" s="8" t="str">
        <f aca="false">IF($A290="","",IF($E290="APPROVATO",1,IF($E290="In svolgimento",IF($F290="",0,$F290),0)))</f>
        <v/>
      </c>
      <c r="N290" s="10" t="str">
        <f aca="false">IF(OR($A290="",$I290="NON MAPPATO",$I290=""),"",$L290*$M290)</f>
        <v/>
      </c>
    </row>
    <row r="291" customFormat="false" ht="15" hidden="false" customHeight="false" outlineLevel="0" collapsed="false">
      <c r="A291" s="6"/>
      <c r="B291" s="7"/>
      <c r="C291" s="6"/>
      <c r="D291" s="6"/>
      <c r="E291" s="6"/>
      <c r="F291" s="8"/>
      <c r="G291" s="9"/>
      <c r="H291" s="7"/>
      <c r="I291" s="6" t="str">
        <f aca="false">IF($A291="","",IFERROR(VLOOKUP($A291,Transcodifica!$A$5:$J$400,5,FALSE()),"NON MAPPATO"))</f>
        <v/>
      </c>
      <c r="J291" s="6" t="str">
        <f aca="false">IF($A291="","",IFERROR(VLOOKUP($A291,Transcodifica!$A$5:$J$400,7,FALSE()),""))</f>
        <v/>
      </c>
      <c r="K291" s="6" t="str">
        <f aca="false">IF($A291="","",IFERROR(VLOOKUP($A291,Transcodifica!$A$5:$J$400,8,FALSE()),""))</f>
        <v/>
      </c>
      <c r="L291" s="6" t="str">
        <f aca="false">IF($A291="","",IFERROR(VLOOKUP($A291,Transcodifica!$A$5:$J$400,9,FALSE()),""))</f>
        <v/>
      </c>
      <c r="M291" s="8" t="str">
        <f aca="false">IF($A291="","",IF($E291="APPROVATO",1,IF($E291="In svolgimento",IF($F291="",0,$F291),0)))</f>
        <v/>
      </c>
      <c r="N291" s="10" t="str">
        <f aca="false">IF(OR($A291="",$I291="NON MAPPATO",$I291=""),"",$L291*$M291)</f>
        <v/>
      </c>
    </row>
    <row r="292" customFormat="false" ht="15" hidden="false" customHeight="false" outlineLevel="0" collapsed="false">
      <c r="A292" s="6"/>
      <c r="B292" s="7"/>
      <c r="C292" s="6"/>
      <c r="D292" s="6"/>
      <c r="E292" s="6"/>
      <c r="F292" s="8"/>
      <c r="G292" s="9"/>
      <c r="H292" s="7"/>
      <c r="I292" s="6" t="str">
        <f aca="false">IF($A292="","",IFERROR(VLOOKUP($A292,Transcodifica!$A$5:$J$400,5,FALSE()),"NON MAPPATO"))</f>
        <v/>
      </c>
      <c r="J292" s="6" t="str">
        <f aca="false">IF($A292="","",IFERROR(VLOOKUP($A292,Transcodifica!$A$5:$J$400,7,FALSE()),""))</f>
        <v/>
      </c>
      <c r="K292" s="6" t="str">
        <f aca="false">IF($A292="","",IFERROR(VLOOKUP($A292,Transcodifica!$A$5:$J$400,8,FALSE()),""))</f>
        <v/>
      </c>
      <c r="L292" s="6" t="str">
        <f aca="false">IF($A292="","",IFERROR(VLOOKUP($A292,Transcodifica!$A$5:$J$400,9,FALSE()),""))</f>
        <v/>
      </c>
      <c r="M292" s="8" t="str">
        <f aca="false">IF($A292="","",IF($E292="APPROVATO",1,IF($E292="In svolgimento",IF($F292="",0,$F292),0)))</f>
        <v/>
      </c>
      <c r="N292" s="10" t="str">
        <f aca="false">IF(OR($A292="",$I292="NON MAPPATO",$I292=""),"",$L292*$M292)</f>
        <v/>
      </c>
    </row>
    <row r="293" customFormat="false" ht="15" hidden="false" customHeight="false" outlineLevel="0" collapsed="false">
      <c r="A293" s="6"/>
      <c r="B293" s="7"/>
      <c r="C293" s="6"/>
      <c r="D293" s="6"/>
      <c r="E293" s="6"/>
      <c r="F293" s="8"/>
      <c r="G293" s="9"/>
      <c r="H293" s="7"/>
      <c r="I293" s="6" t="str">
        <f aca="false">IF($A293="","",IFERROR(VLOOKUP($A293,Transcodifica!$A$5:$J$400,5,FALSE()),"NON MAPPATO"))</f>
        <v/>
      </c>
      <c r="J293" s="6" t="str">
        <f aca="false">IF($A293="","",IFERROR(VLOOKUP($A293,Transcodifica!$A$5:$J$400,7,FALSE()),""))</f>
        <v/>
      </c>
      <c r="K293" s="6" t="str">
        <f aca="false">IF($A293="","",IFERROR(VLOOKUP($A293,Transcodifica!$A$5:$J$400,8,FALSE()),""))</f>
        <v/>
      </c>
      <c r="L293" s="6" t="str">
        <f aca="false">IF($A293="","",IFERROR(VLOOKUP($A293,Transcodifica!$A$5:$J$400,9,FALSE()),""))</f>
        <v/>
      </c>
      <c r="M293" s="8" t="str">
        <f aca="false">IF($A293="","",IF($E293="APPROVATO",1,IF($E293="In svolgimento",IF($F293="",0,$F293),0)))</f>
        <v/>
      </c>
      <c r="N293" s="10" t="str">
        <f aca="false">IF(OR($A293="",$I293="NON MAPPATO",$I293=""),"",$L293*$M293)</f>
        <v/>
      </c>
    </row>
    <row r="294" customFormat="false" ht="15" hidden="false" customHeight="false" outlineLevel="0" collapsed="false">
      <c r="A294" s="6"/>
      <c r="B294" s="7"/>
      <c r="C294" s="6"/>
      <c r="D294" s="6"/>
      <c r="E294" s="6"/>
      <c r="F294" s="8"/>
      <c r="G294" s="9"/>
      <c r="H294" s="7"/>
      <c r="I294" s="6" t="str">
        <f aca="false">IF($A294="","",IFERROR(VLOOKUP($A294,Transcodifica!$A$5:$J$400,5,FALSE()),"NON MAPPATO"))</f>
        <v/>
      </c>
      <c r="J294" s="6" t="str">
        <f aca="false">IF($A294="","",IFERROR(VLOOKUP($A294,Transcodifica!$A$5:$J$400,7,FALSE()),""))</f>
        <v/>
      </c>
      <c r="K294" s="6" t="str">
        <f aca="false">IF($A294="","",IFERROR(VLOOKUP($A294,Transcodifica!$A$5:$J$400,8,FALSE()),""))</f>
        <v/>
      </c>
      <c r="L294" s="6" t="str">
        <f aca="false">IF($A294="","",IFERROR(VLOOKUP($A294,Transcodifica!$A$5:$J$400,9,FALSE()),""))</f>
        <v/>
      </c>
      <c r="M294" s="8" t="str">
        <f aca="false">IF($A294="","",IF($E294="APPROVATO",1,IF($E294="In svolgimento",IF($F294="",0,$F294),0)))</f>
        <v/>
      </c>
      <c r="N294" s="10" t="str">
        <f aca="false">IF(OR($A294="",$I294="NON MAPPATO",$I294=""),"",$L294*$M294)</f>
        <v/>
      </c>
    </row>
    <row r="295" customFormat="false" ht="15" hidden="false" customHeight="false" outlineLevel="0" collapsed="false">
      <c r="A295" s="6"/>
      <c r="B295" s="7"/>
      <c r="C295" s="6"/>
      <c r="D295" s="6"/>
      <c r="E295" s="6"/>
      <c r="F295" s="8"/>
      <c r="G295" s="9"/>
      <c r="H295" s="7"/>
      <c r="I295" s="6" t="str">
        <f aca="false">IF($A295="","",IFERROR(VLOOKUP($A295,Transcodifica!$A$5:$J$400,5,FALSE()),"NON MAPPATO"))</f>
        <v/>
      </c>
      <c r="J295" s="6" t="str">
        <f aca="false">IF($A295="","",IFERROR(VLOOKUP($A295,Transcodifica!$A$5:$J$400,7,FALSE()),""))</f>
        <v/>
      </c>
      <c r="K295" s="6" t="str">
        <f aca="false">IF($A295="","",IFERROR(VLOOKUP($A295,Transcodifica!$A$5:$J$400,8,FALSE()),""))</f>
        <v/>
      </c>
      <c r="L295" s="6" t="str">
        <f aca="false">IF($A295="","",IFERROR(VLOOKUP($A295,Transcodifica!$A$5:$J$400,9,FALSE()),""))</f>
        <v/>
      </c>
      <c r="M295" s="8" t="str">
        <f aca="false">IF($A295="","",IF($E295="APPROVATO",1,IF($E295="In svolgimento",IF($F295="",0,$F295),0)))</f>
        <v/>
      </c>
      <c r="N295" s="10" t="str">
        <f aca="false">IF(OR($A295="",$I295="NON MAPPATO",$I295=""),"",$L295*$M295)</f>
        <v/>
      </c>
    </row>
    <row r="296" customFormat="false" ht="15" hidden="false" customHeight="false" outlineLevel="0" collapsed="false">
      <c r="A296" s="6"/>
      <c r="B296" s="7"/>
      <c r="C296" s="6"/>
      <c r="D296" s="6"/>
      <c r="E296" s="6"/>
      <c r="F296" s="8"/>
      <c r="G296" s="9"/>
      <c r="H296" s="7"/>
      <c r="I296" s="6" t="str">
        <f aca="false">IF($A296="","",IFERROR(VLOOKUP($A296,Transcodifica!$A$5:$J$400,5,FALSE()),"NON MAPPATO"))</f>
        <v/>
      </c>
      <c r="J296" s="6" t="str">
        <f aca="false">IF($A296="","",IFERROR(VLOOKUP($A296,Transcodifica!$A$5:$J$400,7,FALSE()),""))</f>
        <v/>
      </c>
      <c r="K296" s="6" t="str">
        <f aca="false">IF($A296="","",IFERROR(VLOOKUP($A296,Transcodifica!$A$5:$J$400,8,FALSE()),""))</f>
        <v/>
      </c>
      <c r="L296" s="6" t="str">
        <f aca="false">IF($A296="","",IFERROR(VLOOKUP($A296,Transcodifica!$A$5:$J$400,9,FALSE()),""))</f>
        <v/>
      </c>
      <c r="M296" s="8" t="str">
        <f aca="false">IF($A296="","",IF($E296="APPROVATO",1,IF($E296="In svolgimento",IF($F296="",0,$F296),0)))</f>
        <v/>
      </c>
      <c r="N296" s="10" t="str">
        <f aca="false">IF(OR($A296="",$I296="NON MAPPATO",$I296=""),"",$L296*$M296)</f>
        <v/>
      </c>
    </row>
    <row r="297" customFormat="false" ht="15" hidden="false" customHeight="false" outlineLevel="0" collapsed="false">
      <c r="A297" s="6"/>
      <c r="B297" s="7"/>
      <c r="C297" s="6"/>
      <c r="D297" s="6"/>
      <c r="E297" s="6"/>
      <c r="F297" s="8"/>
      <c r="G297" s="9"/>
      <c r="H297" s="7"/>
      <c r="I297" s="6" t="str">
        <f aca="false">IF($A297="","",IFERROR(VLOOKUP($A297,Transcodifica!$A$5:$J$400,5,FALSE()),"NON MAPPATO"))</f>
        <v/>
      </c>
      <c r="J297" s="6" t="str">
        <f aca="false">IF($A297="","",IFERROR(VLOOKUP($A297,Transcodifica!$A$5:$J$400,7,FALSE()),""))</f>
        <v/>
      </c>
      <c r="K297" s="6" t="str">
        <f aca="false">IF($A297="","",IFERROR(VLOOKUP($A297,Transcodifica!$A$5:$J$400,8,FALSE()),""))</f>
        <v/>
      </c>
      <c r="L297" s="6" t="str">
        <f aca="false">IF($A297="","",IFERROR(VLOOKUP($A297,Transcodifica!$A$5:$J$400,9,FALSE()),""))</f>
        <v/>
      </c>
      <c r="M297" s="8" t="str">
        <f aca="false">IF($A297="","",IF($E297="APPROVATO",1,IF($E297="In svolgimento",IF($F297="",0,$F297),0)))</f>
        <v/>
      </c>
      <c r="N297" s="10" t="str">
        <f aca="false">IF(OR($A297="",$I297="NON MAPPATO",$I297=""),"",$L297*$M297)</f>
        <v/>
      </c>
    </row>
    <row r="298" customFormat="false" ht="15" hidden="false" customHeight="false" outlineLevel="0" collapsed="false">
      <c r="A298" s="6"/>
      <c r="B298" s="7"/>
      <c r="C298" s="6"/>
      <c r="D298" s="6"/>
      <c r="E298" s="6"/>
      <c r="F298" s="8"/>
      <c r="G298" s="9"/>
      <c r="H298" s="7"/>
      <c r="I298" s="6" t="str">
        <f aca="false">IF($A298="","",IFERROR(VLOOKUP($A298,Transcodifica!$A$5:$J$400,5,FALSE()),"NON MAPPATO"))</f>
        <v/>
      </c>
      <c r="J298" s="6" t="str">
        <f aca="false">IF($A298="","",IFERROR(VLOOKUP($A298,Transcodifica!$A$5:$J$400,7,FALSE()),""))</f>
        <v/>
      </c>
      <c r="K298" s="6" t="str">
        <f aca="false">IF($A298="","",IFERROR(VLOOKUP($A298,Transcodifica!$A$5:$J$400,8,FALSE()),""))</f>
        <v/>
      </c>
      <c r="L298" s="6" t="str">
        <f aca="false">IF($A298="","",IFERROR(VLOOKUP($A298,Transcodifica!$A$5:$J$400,9,FALSE()),""))</f>
        <v/>
      </c>
      <c r="M298" s="8" t="str">
        <f aca="false">IF($A298="","",IF($E298="APPROVATO",1,IF($E298="In svolgimento",IF($F298="",0,$F298),0)))</f>
        <v/>
      </c>
      <c r="N298" s="10" t="str">
        <f aca="false">IF(OR($A298="",$I298="NON MAPPATO",$I298=""),"",$L298*$M298)</f>
        <v/>
      </c>
    </row>
    <row r="299" customFormat="false" ht="15" hidden="false" customHeight="false" outlineLevel="0" collapsed="false">
      <c r="A299" s="6"/>
      <c r="B299" s="7"/>
      <c r="C299" s="6"/>
      <c r="D299" s="6"/>
      <c r="E299" s="6"/>
      <c r="F299" s="8"/>
      <c r="G299" s="9"/>
      <c r="H299" s="7"/>
      <c r="I299" s="6" t="str">
        <f aca="false">IF($A299="","",IFERROR(VLOOKUP($A299,Transcodifica!$A$5:$J$400,5,FALSE()),"NON MAPPATO"))</f>
        <v/>
      </c>
      <c r="J299" s="6" t="str">
        <f aca="false">IF($A299="","",IFERROR(VLOOKUP($A299,Transcodifica!$A$5:$J$400,7,FALSE()),""))</f>
        <v/>
      </c>
      <c r="K299" s="6" t="str">
        <f aca="false">IF($A299="","",IFERROR(VLOOKUP($A299,Transcodifica!$A$5:$J$400,8,FALSE()),""))</f>
        <v/>
      </c>
      <c r="L299" s="6" t="str">
        <f aca="false">IF($A299="","",IFERROR(VLOOKUP($A299,Transcodifica!$A$5:$J$400,9,FALSE()),""))</f>
        <v/>
      </c>
      <c r="M299" s="8" t="str">
        <f aca="false">IF($A299="","",IF($E299="APPROVATO",1,IF($E299="In svolgimento",IF($F299="",0,$F299),0)))</f>
        <v/>
      </c>
      <c r="N299" s="10" t="str">
        <f aca="false">IF(OR($A299="",$I299="NON MAPPATO",$I299=""),"",$L299*$M299)</f>
        <v/>
      </c>
    </row>
    <row r="300" customFormat="false" ht="15" hidden="false" customHeight="false" outlineLevel="0" collapsed="false">
      <c r="A300" s="6"/>
      <c r="B300" s="7"/>
      <c r="C300" s="6"/>
      <c r="D300" s="6"/>
      <c r="E300" s="6"/>
      <c r="F300" s="8"/>
      <c r="G300" s="9"/>
      <c r="H300" s="7"/>
      <c r="I300" s="6" t="str">
        <f aca="false">IF($A300="","",IFERROR(VLOOKUP($A300,Transcodifica!$A$5:$J$400,5,FALSE()),"NON MAPPATO"))</f>
        <v/>
      </c>
      <c r="J300" s="6" t="str">
        <f aca="false">IF($A300="","",IFERROR(VLOOKUP($A300,Transcodifica!$A$5:$J$400,7,FALSE()),""))</f>
        <v/>
      </c>
      <c r="K300" s="6" t="str">
        <f aca="false">IF($A300="","",IFERROR(VLOOKUP($A300,Transcodifica!$A$5:$J$400,8,FALSE()),""))</f>
        <v/>
      </c>
      <c r="L300" s="6" t="str">
        <f aca="false">IF($A300="","",IFERROR(VLOOKUP($A300,Transcodifica!$A$5:$J$400,9,FALSE()),""))</f>
        <v/>
      </c>
      <c r="M300" s="8" t="str">
        <f aca="false">IF($A300="","",IF($E300="APPROVATO",1,IF($E300="In svolgimento",IF($F300="",0,$F300),0)))</f>
        <v/>
      </c>
      <c r="N300" s="10" t="str">
        <f aca="false">IF(OR($A300="",$I300="NON MAPPATO",$I300=""),"",$L300*$M300)</f>
        <v/>
      </c>
    </row>
    <row r="301" customFormat="false" ht="15" hidden="false" customHeight="false" outlineLevel="0" collapsed="false">
      <c r="A301" s="6"/>
      <c r="B301" s="7"/>
      <c r="C301" s="6"/>
      <c r="D301" s="6"/>
      <c r="E301" s="6"/>
      <c r="F301" s="8"/>
      <c r="G301" s="9"/>
      <c r="H301" s="7"/>
      <c r="I301" s="6" t="str">
        <f aca="false">IF($A301="","",IFERROR(VLOOKUP($A301,Transcodifica!$A$5:$J$400,5,FALSE()),"NON MAPPATO"))</f>
        <v/>
      </c>
      <c r="J301" s="6" t="str">
        <f aca="false">IF($A301="","",IFERROR(VLOOKUP($A301,Transcodifica!$A$5:$J$400,7,FALSE()),""))</f>
        <v/>
      </c>
      <c r="K301" s="6" t="str">
        <f aca="false">IF($A301="","",IFERROR(VLOOKUP($A301,Transcodifica!$A$5:$J$400,8,FALSE()),""))</f>
        <v/>
      </c>
      <c r="L301" s="6" t="str">
        <f aca="false">IF($A301="","",IFERROR(VLOOKUP($A301,Transcodifica!$A$5:$J$400,9,FALSE()),""))</f>
        <v/>
      </c>
      <c r="M301" s="8" t="str">
        <f aca="false">IF($A301="","",IF($E301="APPROVATO",1,IF($E301="In svolgimento",IF($F301="",0,$F301),0)))</f>
        <v/>
      </c>
      <c r="N301" s="10" t="str">
        <f aca="false">IF(OR($A301="",$I301="NON MAPPATO",$I301=""),"",$L301*$M301)</f>
        <v/>
      </c>
    </row>
    <row r="302" customFormat="false" ht="15" hidden="false" customHeight="false" outlineLevel="0" collapsed="false">
      <c r="A302" s="6"/>
      <c r="B302" s="7"/>
      <c r="C302" s="6"/>
      <c r="D302" s="6"/>
      <c r="E302" s="6"/>
      <c r="F302" s="8"/>
      <c r="G302" s="9"/>
      <c r="H302" s="7"/>
      <c r="I302" s="6" t="str">
        <f aca="false">IF($A302="","",IFERROR(VLOOKUP($A302,Transcodifica!$A$5:$J$400,5,FALSE()),"NON MAPPATO"))</f>
        <v/>
      </c>
      <c r="J302" s="6" t="str">
        <f aca="false">IF($A302="","",IFERROR(VLOOKUP($A302,Transcodifica!$A$5:$J$400,7,FALSE()),""))</f>
        <v/>
      </c>
      <c r="K302" s="6" t="str">
        <f aca="false">IF($A302="","",IFERROR(VLOOKUP($A302,Transcodifica!$A$5:$J$400,8,FALSE()),""))</f>
        <v/>
      </c>
      <c r="L302" s="6" t="str">
        <f aca="false">IF($A302="","",IFERROR(VLOOKUP($A302,Transcodifica!$A$5:$J$400,9,FALSE()),""))</f>
        <v/>
      </c>
      <c r="M302" s="8" t="str">
        <f aca="false">IF($A302="","",IF($E302="APPROVATO",1,IF($E302="In svolgimento",IF($F302="",0,$F302),0)))</f>
        <v/>
      </c>
      <c r="N302" s="10" t="str">
        <f aca="false">IF(OR($A302="",$I302="NON MAPPATO",$I302=""),"",$L302*$M302)</f>
        <v/>
      </c>
    </row>
    <row r="303" customFormat="false" ht="15" hidden="false" customHeight="false" outlineLevel="0" collapsed="false">
      <c r="A303" s="6"/>
      <c r="B303" s="7"/>
      <c r="C303" s="6"/>
      <c r="D303" s="6"/>
      <c r="E303" s="6"/>
      <c r="F303" s="8"/>
      <c r="G303" s="9"/>
      <c r="H303" s="7"/>
      <c r="I303" s="6" t="str">
        <f aca="false">IF($A303="","",IFERROR(VLOOKUP($A303,Transcodifica!$A$5:$J$400,5,FALSE()),"NON MAPPATO"))</f>
        <v/>
      </c>
      <c r="J303" s="6" t="str">
        <f aca="false">IF($A303="","",IFERROR(VLOOKUP($A303,Transcodifica!$A$5:$J$400,7,FALSE()),""))</f>
        <v/>
      </c>
      <c r="K303" s="6" t="str">
        <f aca="false">IF($A303="","",IFERROR(VLOOKUP($A303,Transcodifica!$A$5:$J$400,8,FALSE()),""))</f>
        <v/>
      </c>
      <c r="L303" s="6" t="str">
        <f aca="false">IF($A303="","",IFERROR(VLOOKUP($A303,Transcodifica!$A$5:$J$400,9,FALSE()),""))</f>
        <v/>
      </c>
      <c r="M303" s="8" t="str">
        <f aca="false">IF($A303="","",IF($E303="APPROVATO",1,IF($E303="In svolgimento",IF($F303="",0,$F303),0)))</f>
        <v/>
      </c>
      <c r="N303" s="10" t="str">
        <f aca="false">IF(OR($A303="",$I303="NON MAPPATO",$I303=""),"",$L303*$M303)</f>
        <v/>
      </c>
    </row>
    <row r="304" customFormat="false" ht="15" hidden="false" customHeight="false" outlineLevel="0" collapsed="false">
      <c r="A304" s="6"/>
      <c r="B304" s="7"/>
      <c r="C304" s="6"/>
      <c r="D304" s="6"/>
      <c r="E304" s="6"/>
      <c r="F304" s="8"/>
      <c r="G304" s="9"/>
      <c r="H304" s="7"/>
      <c r="I304" s="6" t="str">
        <f aca="false">IF($A304="","",IFERROR(VLOOKUP($A304,Transcodifica!$A$5:$J$400,5,FALSE()),"NON MAPPATO"))</f>
        <v/>
      </c>
      <c r="J304" s="6" t="str">
        <f aca="false">IF($A304="","",IFERROR(VLOOKUP($A304,Transcodifica!$A$5:$J$400,7,FALSE()),""))</f>
        <v/>
      </c>
      <c r="K304" s="6" t="str">
        <f aca="false">IF($A304="","",IFERROR(VLOOKUP($A304,Transcodifica!$A$5:$J$400,8,FALSE()),""))</f>
        <v/>
      </c>
      <c r="L304" s="6" t="str">
        <f aca="false">IF($A304="","",IFERROR(VLOOKUP($A304,Transcodifica!$A$5:$J$400,9,FALSE()),""))</f>
        <v/>
      </c>
      <c r="M304" s="8" t="str">
        <f aca="false">IF($A304="","",IF($E304="APPROVATO",1,IF($E304="In svolgimento",IF($F304="",0,$F304),0)))</f>
        <v/>
      </c>
      <c r="N304" s="10" t="str">
        <f aca="false">IF(OR($A304="",$I304="NON MAPPATO",$I304=""),"",$L304*$M304)</f>
        <v/>
      </c>
    </row>
    <row r="305" customFormat="false" ht="15" hidden="false" customHeight="false" outlineLevel="0" collapsed="false">
      <c r="A305" s="6"/>
      <c r="B305" s="7"/>
      <c r="C305" s="6"/>
      <c r="D305" s="6"/>
      <c r="E305" s="6"/>
      <c r="F305" s="8"/>
      <c r="G305" s="9"/>
      <c r="H305" s="7"/>
      <c r="I305" s="6" t="str">
        <f aca="false">IF($A305="","",IFERROR(VLOOKUP($A305,Transcodifica!$A$5:$J$400,5,FALSE()),"NON MAPPATO"))</f>
        <v/>
      </c>
      <c r="J305" s="6" t="str">
        <f aca="false">IF($A305="","",IFERROR(VLOOKUP($A305,Transcodifica!$A$5:$J$400,7,FALSE()),""))</f>
        <v/>
      </c>
      <c r="K305" s="6" t="str">
        <f aca="false">IF($A305="","",IFERROR(VLOOKUP($A305,Transcodifica!$A$5:$J$400,8,FALSE()),""))</f>
        <v/>
      </c>
      <c r="L305" s="6" t="str">
        <f aca="false">IF($A305="","",IFERROR(VLOOKUP($A305,Transcodifica!$A$5:$J$400,9,FALSE()),""))</f>
        <v/>
      </c>
      <c r="M305" s="8" t="str">
        <f aca="false">IF($A305="","",IF($E305="APPROVATO",1,IF($E305="In svolgimento",IF($F305="",0,$F305),0)))</f>
        <v/>
      </c>
      <c r="N305" s="10" t="str">
        <f aca="false">IF(OR($A305="",$I305="NON MAPPATO",$I305=""),"",$L305*$M305)</f>
        <v/>
      </c>
    </row>
    <row r="306" customFormat="false" ht="15" hidden="false" customHeight="false" outlineLevel="0" collapsed="false">
      <c r="A306" s="6"/>
      <c r="B306" s="7"/>
      <c r="C306" s="6"/>
      <c r="D306" s="6"/>
      <c r="E306" s="6"/>
      <c r="F306" s="8"/>
      <c r="G306" s="9"/>
      <c r="H306" s="7"/>
      <c r="I306" s="6" t="str">
        <f aca="false">IF($A306="","",IFERROR(VLOOKUP($A306,Transcodifica!$A$5:$J$400,5,FALSE()),"NON MAPPATO"))</f>
        <v/>
      </c>
      <c r="J306" s="6" t="str">
        <f aca="false">IF($A306="","",IFERROR(VLOOKUP($A306,Transcodifica!$A$5:$J$400,7,FALSE()),""))</f>
        <v/>
      </c>
      <c r="K306" s="6" t="str">
        <f aca="false">IF($A306="","",IFERROR(VLOOKUP($A306,Transcodifica!$A$5:$J$400,8,FALSE()),""))</f>
        <v/>
      </c>
      <c r="L306" s="6" t="str">
        <f aca="false">IF($A306="","",IFERROR(VLOOKUP($A306,Transcodifica!$A$5:$J$400,9,FALSE()),""))</f>
        <v/>
      </c>
      <c r="M306" s="8" t="str">
        <f aca="false">IF($A306="","",IF($E306="APPROVATO",1,IF($E306="In svolgimento",IF($F306="",0,$F306),0)))</f>
        <v/>
      </c>
      <c r="N306" s="10" t="str">
        <f aca="false">IF(OR($A306="",$I306="NON MAPPATO",$I306=""),"",$L306*$M306)</f>
        <v/>
      </c>
    </row>
    <row r="307" customFormat="false" ht="15" hidden="false" customHeight="false" outlineLevel="0" collapsed="false">
      <c r="A307" s="6"/>
      <c r="B307" s="7"/>
      <c r="C307" s="6"/>
      <c r="D307" s="6"/>
      <c r="E307" s="6"/>
      <c r="F307" s="8"/>
      <c r="G307" s="9"/>
      <c r="H307" s="7"/>
      <c r="I307" s="6" t="str">
        <f aca="false">IF($A307="","",IFERROR(VLOOKUP($A307,Transcodifica!$A$5:$J$400,5,FALSE()),"NON MAPPATO"))</f>
        <v/>
      </c>
      <c r="J307" s="6" t="str">
        <f aca="false">IF($A307="","",IFERROR(VLOOKUP($A307,Transcodifica!$A$5:$J$400,7,FALSE()),""))</f>
        <v/>
      </c>
      <c r="K307" s="6" t="str">
        <f aca="false">IF($A307="","",IFERROR(VLOOKUP($A307,Transcodifica!$A$5:$J$400,8,FALSE()),""))</f>
        <v/>
      </c>
      <c r="L307" s="6" t="str">
        <f aca="false">IF($A307="","",IFERROR(VLOOKUP($A307,Transcodifica!$A$5:$J$400,9,FALSE()),""))</f>
        <v/>
      </c>
      <c r="M307" s="8" t="str">
        <f aca="false">IF($A307="","",IF($E307="APPROVATO",1,IF($E307="In svolgimento",IF($F307="",0,$F307),0)))</f>
        <v/>
      </c>
      <c r="N307" s="10" t="str">
        <f aca="false">IF(OR($A307="",$I307="NON MAPPATO",$I307=""),"",$L307*$M307)</f>
        <v/>
      </c>
    </row>
    <row r="308" customFormat="false" ht="15" hidden="false" customHeight="false" outlineLevel="0" collapsed="false">
      <c r="A308" s="6"/>
      <c r="B308" s="7"/>
      <c r="C308" s="6"/>
      <c r="D308" s="6"/>
      <c r="E308" s="6"/>
      <c r="F308" s="8"/>
      <c r="G308" s="9"/>
      <c r="H308" s="7"/>
      <c r="I308" s="6" t="str">
        <f aca="false">IF($A308="","",IFERROR(VLOOKUP($A308,Transcodifica!$A$5:$J$400,5,FALSE()),"NON MAPPATO"))</f>
        <v/>
      </c>
      <c r="J308" s="6" t="str">
        <f aca="false">IF($A308="","",IFERROR(VLOOKUP($A308,Transcodifica!$A$5:$J$400,7,FALSE()),""))</f>
        <v/>
      </c>
      <c r="K308" s="6" t="str">
        <f aca="false">IF($A308="","",IFERROR(VLOOKUP($A308,Transcodifica!$A$5:$J$400,8,FALSE()),""))</f>
        <v/>
      </c>
      <c r="L308" s="6" t="str">
        <f aca="false">IF($A308="","",IFERROR(VLOOKUP($A308,Transcodifica!$A$5:$J$400,9,FALSE()),""))</f>
        <v/>
      </c>
      <c r="M308" s="8" t="str">
        <f aca="false">IF($A308="","",IF($E308="APPROVATO",1,IF($E308="In svolgimento",IF($F308="",0,$F308),0)))</f>
        <v/>
      </c>
      <c r="N308" s="10" t="str">
        <f aca="false">IF(OR($A308="",$I308="NON MAPPATO",$I308=""),"",$L308*$M308)</f>
        <v/>
      </c>
    </row>
    <row r="309" customFormat="false" ht="15" hidden="false" customHeight="false" outlineLevel="0" collapsed="false">
      <c r="A309" s="6"/>
      <c r="B309" s="7"/>
      <c r="C309" s="6"/>
      <c r="D309" s="6"/>
      <c r="E309" s="6"/>
      <c r="F309" s="8"/>
      <c r="G309" s="9"/>
      <c r="H309" s="7"/>
      <c r="I309" s="6" t="str">
        <f aca="false">IF($A309="","",IFERROR(VLOOKUP($A309,Transcodifica!$A$5:$J$400,5,FALSE()),"NON MAPPATO"))</f>
        <v/>
      </c>
      <c r="J309" s="6" t="str">
        <f aca="false">IF($A309="","",IFERROR(VLOOKUP($A309,Transcodifica!$A$5:$J$400,7,FALSE()),""))</f>
        <v/>
      </c>
      <c r="K309" s="6" t="str">
        <f aca="false">IF($A309="","",IFERROR(VLOOKUP($A309,Transcodifica!$A$5:$J$400,8,FALSE()),""))</f>
        <v/>
      </c>
      <c r="L309" s="6" t="str">
        <f aca="false">IF($A309="","",IFERROR(VLOOKUP($A309,Transcodifica!$A$5:$J$400,9,FALSE()),""))</f>
        <v/>
      </c>
      <c r="M309" s="8" t="str">
        <f aca="false">IF($A309="","",IF($E309="APPROVATO",1,IF($E309="In svolgimento",IF($F309="",0,$F309),0)))</f>
        <v/>
      </c>
      <c r="N309" s="10" t="str">
        <f aca="false">IF(OR($A309="",$I309="NON MAPPATO",$I309=""),"",$L309*$M309)</f>
        <v/>
      </c>
    </row>
    <row r="310" customFormat="false" ht="15" hidden="false" customHeight="false" outlineLevel="0" collapsed="false">
      <c r="A310" s="6"/>
      <c r="B310" s="7"/>
      <c r="C310" s="6"/>
      <c r="D310" s="6"/>
      <c r="E310" s="6"/>
      <c r="F310" s="8"/>
      <c r="G310" s="9"/>
      <c r="H310" s="7"/>
      <c r="I310" s="6" t="str">
        <f aca="false">IF($A310="","",IFERROR(VLOOKUP($A310,Transcodifica!$A$5:$J$400,5,FALSE()),"NON MAPPATO"))</f>
        <v/>
      </c>
      <c r="J310" s="6" t="str">
        <f aca="false">IF($A310="","",IFERROR(VLOOKUP($A310,Transcodifica!$A$5:$J$400,7,FALSE()),""))</f>
        <v/>
      </c>
      <c r="K310" s="6" t="str">
        <f aca="false">IF($A310="","",IFERROR(VLOOKUP($A310,Transcodifica!$A$5:$J$400,8,FALSE()),""))</f>
        <v/>
      </c>
      <c r="L310" s="6" t="str">
        <f aca="false">IF($A310="","",IFERROR(VLOOKUP($A310,Transcodifica!$A$5:$J$400,9,FALSE()),""))</f>
        <v/>
      </c>
      <c r="M310" s="8" t="str">
        <f aca="false">IF($A310="","",IF($E310="APPROVATO",1,IF($E310="In svolgimento",IF($F310="",0,$F310),0)))</f>
        <v/>
      </c>
      <c r="N310" s="10" t="str">
        <f aca="false">IF(OR($A310="",$I310="NON MAPPATO",$I310=""),"",$L310*$M310)</f>
        <v/>
      </c>
    </row>
    <row r="311" customFormat="false" ht="15" hidden="false" customHeight="false" outlineLevel="0" collapsed="false">
      <c r="A311" s="6"/>
      <c r="B311" s="7"/>
      <c r="C311" s="6"/>
      <c r="D311" s="6"/>
      <c r="E311" s="6"/>
      <c r="F311" s="8"/>
      <c r="G311" s="9"/>
      <c r="H311" s="7"/>
      <c r="I311" s="6" t="str">
        <f aca="false">IF($A311="","",IFERROR(VLOOKUP($A311,Transcodifica!$A$5:$J$400,5,FALSE()),"NON MAPPATO"))</f>
        <v/>
      </c>
      <c r="J311" s="6" t="str">
        <f aca="false">IF($A311="","",IFERROR(VLOOKUP($A311,Transcodifica!$A$5:$J$400,7,FALSE()),""))</f>
        <v/>
      </c>
      <c r="K311" s="6" t="str">
        <f aca="false">IF($A311="","",IFERROR(VLOOKUP($A311,Transcodifica!$A$5:$J$400,8,FALSE()),""))</f>
        <v/>
      </c>
      <c r="L311" s="6" t="str">
        <f aca="false">IF($A311="","",IFERROR(VLOOKUP($A311,Transcodifica!$A$5:$J$400,9,FALSE()),""))</f>
        <v/>
      </c>
      <c r="M311" s="8" t="str">
        <f aca="false">IF($A311="","",IF($E311="APPROVATO",1,IF($E311="In svolgimento",IF($F311="",0,$F311),0)))</f>
        <v/>
      </c>
      <c r="N311" s="10" t="str">
        <f aca="false">IF(OR($A311="",$I311="NON MAPPATO",$I311=""),"",$L311*$M311)</f>
        <v/>
      </c>
    </row>
    <row r="312" customFormat="false" ht="15" hidden="false" customHeight="false" outlineLevel="0" collapsed="false">
      <c r="A312" s="6"/>
      <c r="B312" s="7"/>
      <c r="C312" s="6"/>
      <c r="D312" s="6"/>
      <c r="E312" s="6"/>
      <c r="F312" s="8"/>
      <c r="G312" s="9"/>
      <c r="H312" s="7"/>
      <c r="I312" s="6" t="str">
        <f aca="false">IF($A312="","",IFERROR(VLOOKUP($A312,Transcodifica!$A$5:$J$400,5,FALSE()),"NON MAPPATO"))</f>
        <v/>
      </c>
      <c r="J312" s="6" t="str">
        <f aca="false">IF($A312="","",IFERROR(VLOOKUP($A312,Transcodifica!$A$5:$J$400,7,FALSE()),""))</f>
        <v/>
      </c>
      <c r="K312" s="6" t="str">
        <f aca="false">IF($A312="","",IFERROR(VLOOKUP($A312,Transcodifica!$A$5:$J$400,8,FALSE()),""))</f>
        <v/>
      </c>
      <c r="L312" s="6" t="str">
        <f aca="false">IF($A312="","",IFERROR(VLOOKUP($A312,Transcodifica!$A$5:$J$400,9,FALSE()),""))</f>
        <v/>
      </c>
      <c r="M312" s="8" t="str">
        <f aca="false">IF($A312="","",IF($E312="APPROVATO",1,IF($E312="In svolgimento",IF($F312="",0,$F312),0)))</f>
        <v/>
      </c>
      <c r="N312" s="10" t="str">
        <f aca="false">IF(OR($A312="",$I312="NON MAPPATO",$I312=""),"",$L312*$M312)</f>
        <v/>
      </c>
    </row>
    <row r="313" customFormat="false" ht="15" hidden="false" customHeight="false" outlineLevel="0" collapsed="false">
      <c r="A313" s="6"/>
      <c r="B313" s="7"/>
      <c r="C313" s="6"/>
      <c r="D313" s="6"/>
      <c r="E313" s="6"/>
      <c r="F313" s="8"/>
      <c r="G313" s="9"/>
      <c r="H313" s="7"/>
      <c r="I313" s="6" t="str">
        <f aca="false">IF($A313="","",IFERROR(VLOOKUP($A313,Transcodifica!$A$5:$J$400,5,FALSE()),"NON MAPPATO"))</f>
        <v/>
      </c>
      <c r="J313" s="6" t="str">
        <f aca="false">IF($A313="","",IFERROR(VLOOKUP($A313,Transcodifica!$A$5:$J$400,7,FALSE()),""))</f>
        <v/>
      </c>
      <c r="K313" s="6" t="str">
        <f aca="false">IF($A313="","",IFERROR(VLOOKUP($A313,Transcodifica!$A$5:$J$400,8,FALSE()),""))</f>
        <v/>
      </c>
      <c r="L313" s="6" t="str">
        <f aca="false">IF($A313="","",IFERROR(VLOOKUP($A313,Transcodifica!$A$5:$J$400,9,FALSE()),""))</f>
        <v/>
      </c>
      <c r="M313" s="8" t="str">
        <f aca="false">IF($A313="","",IF($E313="APPROVATO",1,IF($E313="In svolgimento",IF($F313="",0,$F313),0)))</f>
        <v/>
      </c>
      <c r="N313" s="10" t="str">
        <f aca="false">IF(OR($A313="",$I313="NON MAPPATO",$I313=""),"",$L313*$M313)</f>
        <v/>
      </c>
    </row>
    <row r="314" customFormat="false" ht="15" hidden="false" customHeight="false" outlineLevel="0" collapsed="false">
      <c r="A314" s="6"/>
      <c r="B314" s="7"/>
      <c r="C314" s="6"/>
      <c r="D314" s="6"/>
      <c r="E314" s="6"/>
      <c r="F314" s="8"/>
      <c r="G314" s="9"/>
      <c r="H314" s="7"/>
      <c r="I314" s="6" t="str">
        <f aca="false">IF($A314="","",IFERROR(VLOOKUP($A314,Transcodifica!$A$5:$J$400,5,FALSE()),"NON MAPPATO"))</f>
        <v/>
      </c>
      <c r="J314" s="6" t="str">
        <f aca="false">IF($A314="","",IFERROR(VLOOKUP($A314,Transcodifica!$A$5:$J$400,7,FALSE()),""))</f>
        <v/>
      </c>
      <c r="K314" s="6" t="str">
        <f aca="false">IF($A314="","",IFERROR(VLOOKUP($A314,Transcodifica!$A$5:$J$400,8,FALSE()),""))</f>
        <v/>
      </c>
      <c r="L314" s="6" t="str">
        <f aca="false">IF($A314="","",IFERROR(VLOOKUP($A314,Transcodifica!$A$5:$J$400,9,FALSE()),""))</f>
        <v/>
      </c>
      <c r="M314" s="8" t="str">
        <f aca="false">IF($A314="","",IF($E314="APPROVATO",1,IF($E314="In svolgimento",IF($F314="",0,$F314),0)))</f>
        <v/>
      </c>
      <c r="N314" s="10" t="str">
        <f aca="false">IF(OR($A314="",$I314="NON MAPPATO",$I314=""),"",$L314*$M314)</f>
        <v/>
      </c>
    </row>
    <row r="315" customFormat="false" ht="15" hidden="false" customHeight="false" outlineLevel="0" collapsed="false">
      <c r="A315" s="6"/>
      <c r="B315" s="7"/>
      <c r="C315" s="6"/>
      <c r="D315" s="6"/>
      <c r="E315" s="6"/>
      <c r="F315" s="8"/>
      <c r="G315" s="9"/>
      <c r="H315" s="7"/>
      <c r="I315" s="6" t="str">
        <f aca="false">IF($A315="","",IFERROR(VLOOKUP($A315,Transcodifica!$A$5:$J$400,5,FALSE()),"NON MAPPATO"))</f>
        <v/>
      </c>
      <c r="J315" s="6" t="str">
        <f aca="false">IF($A315="","",IFERROR(VLOOKUP($A315,Transcodifica!$A$5:$J$400,7,FALSE()),""))</f>
        <v/>
      </c>
      <c r="K315" s="6" t="str">
        <f aca="false">IF($A315="","",IFERROR(VLOOKUP($A315,Transcodifica!$A$5:$J$400,8,FALSE()),""))</f>
        <v/>
      </c>
      <c r="L315" s="6" t="str">
        <f aca="false">IF($A315="","",IFERROR(VLOOKUP($A315,Transcodifica!$A$5:$J$400,9,FALSE()),""))</f>
        <v/>
      </c>
      <c r="M315" s="8" t="str">
        <f aca="false">IF($A315="","",IF($E315="APPROVATO",1,IF($E315="In svolgimento",IF($F315="",0,$F315),0)))</f>
        <v/>
      </c>
      <c r="N315" s="10" t="str">
        <f aca="false">IF(OR($A315="",$I315="NON MAPPATO",$I315=""),"",$L315*$M315)</f>
        <v/>
      </c>
    </row>
    <row r="316" customFormat="false" ht="15" hidden="false" customHeight="false" outlineLevel="0" collapsed="false">
      <c r="A316" s="6"/>
      <c r="B316" s="7"/>
      <c r="C316" s="6"/>
      <c r="D316" s="6"/>
      <c r="E316" s="6"/>
      <c r="F316" s="8"/>
      <c r="G316" s="9"/>
      <c r="H316" s="7"/>
      <c r="I316" s="6" t="str">
        <f aca="false">IF($A316="","",IFERROR(VLOOKUP($A316,Transcodifica!$A$5:$J$400,5,FALSE()),"NON MAPPATO"))</f>
        <v/>
      </c>
      <c r="J316" s="6" t="str">
        <f aca="false">IF($A316="","",IFERROR(VLOOKUP($A316,Transcodifica!$A$5:$J$400,7,FALSE()),""))</f>
        <v/>
      </c>
      <c r="K316" s="6" t="str">
        <f aca="false">IF($A316="","",IFERROR(VLOOKUP($A316,Transcodifica!$A$5:$J$400,8,FALSE()),""))</f>
        <v/>
      </c>
      <c r="L316" s="6" t="str">
        <f aca="false">IF($A316="","",IFERROR(VLOOKUP($A316,Transcodifica!$A$5:$J$400,9,FALSE()),""))</f>
        <v/>
      </c>
      <c r="M316" s="8" t="str">
        <f aca="false">IF($A316="","",IF($E316="APPROVATO",1,IF($E316="In svolgimento",IF($F316="",0,$F316),0)))</f>
        <v/>
      </c>
      <c r="N316" s="10" t="str">
        <f aca="false">IF(OR($A316="",$I316="NON MAPPATO",$I316=""),"",$L316*$M316)</f>
        <v/>
      </c>
    </row>
    <row r="317" customFormat="false" ht="15" hidden="false" customHeight="false" outlineLevel="0" collapsed="false">
      <c r="A317" s="6"/>
      <c r="B317" s="7"/>
      <c r="C317" s="6"/>
      <c r="D317" s="6"/>
      <c r="E317" s="6"/>
      <c r="F317" s="8"/>
      <c r="G317" s="9"/>
      <c r="H317" s="7"/>
      <c r="I317" s="6" t="str">
        <f aca="false">IF($A317="","",IFERROR(VLOOKUP($A317,Transcodifica!$A$5:$J$400,5,FALSE()),"NON MAPPATO"))</f>
        <v/>
      </c>
      <c r="J317" s="6" t="str">
        <f aca="false">IF($A317="","",IFERROR(VLOOKUP($A317,Transcodifica!$A$5:$J$400,7,FALSE()),""))</f>
        <v/>
      </c>
      <c r="K317" s="6" t="str">
        <f aca="false">IF($A317="","",IFERROR(VLOOKUP($A317,Transcodifica!$A$5:$J$400,8,FALSE()),""))</f>
        <v/>
      </c>
      <c r="L317" s="6" t="str">
        <f aca="false">IF($A317="","",IFERROR(VLOOKUP($A317,Transcodifica!$A$5:$J$400,9,FALSE()),""))</f>
        <v/>
      </c>
      <c r="M317" s="8" t="str">
        <f aca="false">IF($A317="","",IF($E317="APPROVATO",1,IF($E317="In svolgimento",IF($F317="",0,$F317),0)))</f>
        <v/>
      </c>
      <c r="N317" s="10" t="str">
        <f aca="false">IF(OR($A317="",$I317="NON MAPPATO",$I317=""),"",$L317*$M317)</f>
        <v/>
      </c>
    </row>
    <row r="318" customFormat="false" ht="15" hidden="false" customHeight="false" outlineLevel="0" collapsed="false">
      <c r="A318" s="6"/>
      <c r="B318" s="7"/>
      <c r="C318" s="6"/>
      <c r="D318" s="6"/>
      <c r="E318" s="6"/>
      <c r="F318" s="8"/>
      <c r="G318" s="9"/>
      <c r="H318" s="7"/>
      <c r="I318" s="6" t="str">
        <f aca="false">IF($A318="","",IFERROR(VLOOKUP($A318,Transcodifica!$A$5:$J$400,5,FALSE()),"NON MAPPATO"))</f>
        <v/>
      </c>
      <c r="J318" s="6" t="str">
        <f aca="false">IF($A318="","",IFERROR(VLOOKUP($A318,Transcodifica!$A$5:$J$400,7,FALSE()),""))</f>
        <v/>
      </c>
      <c r="K318" s="6" t="str">
        <f aca="false">IF($A318="","",IFERROR(VLOOKUP($A318,Transcodifica!$A$5:$J$400,8,FALSE()),""))</f>
        <v/>
      </c>
      <c r="L318" s="6" t="str">
        <f aca="false">IF($A318="","",IFERROR(VLOOKUP($A318,Transcodifica!$A$5:$J$400,9,FALSE()),""))</f>
        <v/>
      </c>
      <c r="M318" s="8" t="str">
        <f aca="false">IF($A318="","",IF($E318="APPROVATO",1,IF($E318="In svolgimento",IF($F318="",0,$F318),0)))</f>
        <v/>
      </c>
      <c r="N318" s="10" t="str">
        <f aca="false">IF(OR($A318="",$I318="NON MAPPATO",$I318=""),"",$L318*$M318)</f>
        <v/>
      </c>
    </row>
    <row r="319" customFormat="false" ht="15" hidden="false" customHeight="false" outlineLevel="0" collapsed="false">
      <c r="A319" s="6"/>
      <c r="B319" s="7"/>
      <c r="C319" s="6"/>
      <c r="D319" s="6"/>
      <c r="E319" s="6"/>
      <c r="F319" s="8"/>
      <c r="G319" s="9"/>
      <c r="H319" s="7"/>
      <c r="I319" s="6" t="str">
        <f aca="false">IF($A319="","",IFERROR(VLOOKUP($A319,Transcodifica!$A$5:$J$400,5,FALSE()),"NON MAPPATO"))</f>
        <v/>
      </c>
      <c r="J319" s="6" t="str">
        <f aca="false">IF($A319="","",IFERROR(VLOOKUP($A319,Transcodifica!$A$5:$J$400,7,FALSE()),""))</f>
        <v/>
      </c>
      <c r="K319" s="6" t="str">
        <f aca="false">IF($A319="","",IFERROR(VLOOKUP($A319,Transcodifica!$A$5:$J$400,8,FALSE()),""))</f>
        <v/>
      </c>
      <c r="L319" s="6" t="str">
        <f aca="false">IF($A319="","",IFERROR(VLOOKUP($A319,Transcodifica!$A$5:$J$400,9,FALSE()),""))</f>
        <v/>
      </c>
      <c r="M319" s="8" t="str">
        <f aca="false">IF($A319="","",IF($E319="APPROVATO",1,IF($E319="In svolgimento",IF($F319="",0,$F319),0)))</f>
        <v/>
      </c>
      <c r="N319" s="10" t="str">
        <f aca="false">IF(OR($A319="",$I319="NON MAPPATO",$I319=""),"",$L319*$M319)</f>
        <v/>
      </c>
    </row>
    <row r="320" customFormat="false" ht="15" hidden="false" customHeight="false" outlineLevel="0" collapsed="false">
      <c r="A320" s="6"/>
      <c r="B320" s="7"/>
      <c r="C320" s="6"/>
      <c r="D320" s="6"/>
      <c r="E320" s="6"/>
      <c r="F320" s="8"/>
      <c r="G320" s="9"/>
      <c r="H320" s="7"/>
      <c r="I320" s="6" t="str">
        <f aca="false">IF($A320="","",IFERROR(VLOOKUP($A320,Transcodifica!$A$5:$J$400,5,FALSE()),"NON MAPPATO"))</f>
        <v/>
      </c>
      <c r="J320" s="6" t="str">
        <f aca="false">IF($A320="","",IFERROR(VLOOKUP($A320,Transcodifica!$A$5:$J$400,7,FALSE()),""))</f>
        <v/>
      </c>
      <c r="K320" s="6" t="str">
        <f aca="false">IF($A320="","",IFERROR(VLOOKUP($A320,Transcodifica!$A$5:$J$400,8,FALSE()),""))</f>
        <v/>
      </c>
      <c r="L320" s="6" t="str">
        <f aca="false">IF($A320="","",IFERROR(VLOOKUP($A320,Transcodifica!$A$5:$J$400,9,FALSE()),""))</f>
        <v/>
      </c>
      <c r="M320" s="8" t="str">
        <f aca="false">IF($A320="","",IF($E320="APPROVATO",1,IF($E320="In svolgimento",IF($F320="",0,$F320),0)))</f>
        <v/>
      </c>
      <c r="N320" s="10" t="str">
        <f aca="false">IF(OR($A320="",$I320="NON MAPPATO",$I320=""),"",$L320*$M320)</f>
        <v/>
      </c>
    </row>
    <row r="321" customFormat="false" ht="15" hidden="false" customHeight="false" outlineLevel="0" collapsed="false">
      <c r="A321" s="6"/>
      <c r="B321" s="7"/>
      <c r="C321" s="6"/>
      <c r="D321" s="6"/>
      <c r="E321" s="6"/>
      <c r="F321" s="8"/>
      <c r="G321" s="9"/>
      <c r="H321" s="7"/>
      <c r="I321" s="6" t="str">
        <f aca="false">IF($A321="","",IFERROR(VLOOKUP($A321,Transcodifica!$A$5:$J$400,5,FALSE()),"NON MAPPATO"))</f>
        <v/>
      </c>
      <c r="J321" s="6" t="str">
        <f aca="false">IF($A321="","",IFERROR(VLOOKUP($A321,Transcodifica!$A$5:$J$400,7,FALSE()),""))</f>
        <v/>
      </c>
      <c r="K321" s="6" t="str">
        <f aca="false">IF($A321="","",IFERROR(VLOOKUP($A321,Transcodifica!$A$5:$J$400,8,FALSE()),""))</f>
        <v/>
      </c>
      <c r="L321" s="6" t="str">
        <f aca="false">IF($A321="","",IFERROR(VLOOKUP($A321,Transcodifica!$A$5:$J$400,9,FALSE()),""))</f>
        <v/>
      </c>
      <c r="M321" s="8" t="str">
        <f aca="false">IF($A321="","",IF($E321="APPROVATO",1,IF($E321="In svolgimento",IF($F321="",0,$F321),0)))</f>
        <v/>
      </c>
      <c r="N321" s="10" t="str">
        <f aca="false">IF(OR($A321="",$I321="NON MAPPATO",$I321=""),"",$L321*$M321)</f>
        <v/>
      </c>
    </row>
    <row r="322" customFormat="false" ht="15" hidden="false" customHeight="false" outlineLevel="0" collapsed="false">
      <c r="A322" s="6"/>
      <c r="B322" s="7"/>
      <c r="C322" s="6"/>
      <c r="D322" s="6"/>
      <c r="E322" s="6"/>
      <c r="F322" s="8"/>
      <c r="G322" s="9"/>
      <c r="H322" s="7"/>
      <c r="I322" s="6" t="str">
        <f aca="false">IF($A322="","",IFERROR(VLOOKUP($A322,Transcodifica!$A$5:$J$400,5,FALSE()),"NON MAPPATO"))</f>
        <v/>
      </c>
      <c r="J322" s="6" t="str">
        <f aca="false">IF($A322="","",IFERROR(VLOOKUP($A322,Transcodifica!$A$5:$J$400,7,FALSE()),""))</f>
        <v/>
      </c>
      <c r="K322" s="6" t="str">
        <f aca="false">IF($A322="","",IFERROR(VLOOKUP($A322,Transcodifica!$A$5:$J$400,8,FALSE()),""))</f>
        <v/>
      </c>
      <c r="L322" s="6" t="str">
        <f aca="false">IF($A322="","",IFERROR(VLOOKUP($A322,Transcodifica!$A$5:$J$400,9,FALSE()),""))</f>
        <v/>
      </c>
      <c r="M322" s="8" t="str">
        <f aca="false">IF($A322="","",IF($E322="APPROVATO",1,IF($E322="In svolgimento",IF($F322="",0,$F322),0)))</f>
        <v/>
      </c>
      <c r="N322" s="10" t="str">
        <f aca="false">IF(OR($A322="",$I322="NON MAPPATO",$I322=""),"",$L322*$M322)</f>
        <v/>
      </c>
    </row>
    <row r="323" customFormat="false" ht="15" hidden="false" customHeight="false" outlineLevel="0" collapsed="false">
      <c r="A323" s="6"/>
      <c r="B323" s="7"/>
      <c r="C323" s="6"/>
      <c r="D323" s="6"/>
      <c r="E323" s="6"/>
      <c r="F323" s="8"/>
      <c r="G323" s="9"/>
      <c r="H323" s="7"/>
      <c r="I323" s="6" t="str">
        <f aca="false">IF($A323="","",IFERROR(VLOOKUP($A323,Transcodifica!$A$5:$J$400,5,FALSE()),"NON MAPPATO"))</f>
        <v/>
      </c>
      <c r="J323" s="6" t="str">
        <f aca="false">IF($A323="","",IFERROR(VLOOKUP($A323,Transcodifica!$A$5:$J$400,7,FALSE()),""))</f>
        <v/>
      </c>
      <c r="K323" s="6" t="str">
        <f aca="false">IF($A323="","",IFERROR(VLOOKUP($A323,Transcodifica!$A$5:$J$400,8,FALSE()),""))</f>
        <v/>
      </c>
      <c r="L323" s="6" t="str">
        <f aca="false">IF($A323="","",IFERROR(VLOOKUP($A323,Transcodifica!$A$5:$J$400,9,FALSE()),""))</f>
        <v/>
      </c>
      <c r="M323" s="8" t="str">
        <f aca="false">IF($A323="","",IF($E323="APPROVATO",1,IF($E323="In svolgimento",IF($F323="",0,$F323),0)))</f>
        <v/>
      </c>
      <c r="N323" s="10" t="str">
        <f aca="false">IF(OR($A323="",$I323="NON MAPPATO",$I323=""),"",$L323*$M323)</f>
        <v/>
      </c>
    </row>
    <row r="324" customFormat="false" ht="15" hidden="false" customHeight="false" outlineLevel="0" collapsed="false">
      <c r="A324" s="6"/>
      <c r="B324" s="7"/>
      <c r="C324" s="6"/>
      <c r="D324" s="6"/>
      <c r="E324" s="6"/>
      <c r="F324" s="8"/>
      <c r="G324" s="9"/>
      <c r="H324" s="7"/>
      <c r="I324" s="6" t="str">
        <f aca="false">IF($A324="","",IFERROR(VLOOKUP($A324,Transcodifica!$A$5:$J$400,5,FALSE()),"NON MAPPATO"))</f>
        <v/>
      </c>
      <c r="J324" s="6" t="str">
        <f aca="false">IF($A324="","",IFERROR(VLOOKUP($A324,Transcodifica!$A$5:$J$400,7,FALSE()),""))</f>
        <v/>
      </c>
      <c r="K324" s="6" t="str">
        <f aca="false">IF($A324="","",IFERROR(VLOOKUP($A324,Transcodifica!$A$5:$J$400,8,FALSE()),""))</f>
        <v/>
      </c>
      <c r="L324" s="6" t="str">
        <f aca="false">IF($A324="","",IFERROR(VLOOKUP($A324,Transcodifica!$A$5:$J$400,9,FALSE()),""))</f>
        <v/>
      </c>
      <c r="M324" s="8" t="str">
        <f aca="false">IF($A324="","",IF($E324="APPROVATO",1,IF($E324="In svolgimento",IF($F324="",0,$F324),0)))</f>
        <v/>
      </c>
      <c r="N324" s="10" t="str">
        <f aca="false">IF(OR($A324="",$I324="NON MAPPATO",$I324=""),"",$L324*$M324)</f>
        <v/>
      </c>
    </row>
    <row r="325" customFormat="false" ht="15" hidden="false" customHeight="false" outlineLevel="0" collapsed="false">
      <c r="A325" s="6"/>
      <c r="B325" s="7"/>
      <c r="C325" s="6"/>
      <c r="D325" s="6"/>
      <c r="E325" s="6"/>
      <c r="F325" s="8"/>
      <c r="G325" s="9"/>
      <c r="H325" s="7"/>
      <c r="I325" s="6" t="str">
        <f aca="false">IF($A325="","",IFERROR(VLOOKUP($A325,Transcodifica!$A$5:$J$400,5,FALSE()),"NON MAPPATO"))</f>
        <v/>
      </c>
      <c r="J325" s="6" t="str">
        <f aca="false">IF($A325="","",IFERROR(VLOOKUP($A325,Transcodifica!$A$5:$J$400,7,FALSE()),""))</f>
        <v/>
      </c>
      <c r="K325" s="6" t="str">
        <f aca="false">IF($A325="","",IFERROR(VLOOKUP($A325,Transcodifica!$A$5:$J$400,8,FALSE()),""))</f>
        <v/>
      </c>
      <c r="L325" s="6" t="str">
        <f aca="false">IF($A325="","",IFERROR(VLOOKUP($A325,Transcodifica!$A$5:$J$400,9,FALSE()),""))</f>
        <v/>
      </c>
      <c r="M325" s="8" t="str">
        <f aca="false">IF($A325="","",IF($E325="APPROVATO",1,IF($E325="In svolgimento",IF($F325="",0,$F325),0)))</f>
        <v/>
      </c>
      <c r="N325" s="10" t="str">
        <f aca="false">IF(OR($A325="",$I325="NON MAPPATO",$I325=""),"",$L325*$M325)</f>
        <v/>
      </c>
    </row>
    <row r="326" customFormat="false" ht="15" hidden="false" customHeight="false" outlineLevel="0" collapsed="false">
      <c r="A326" s="6"/>
      <c r="B326" s="7"/>
      <c r="C326" s="6"/>
      <c r="D326" s="6"/>
      <c r="E326" s="6"/>
      <c r="F326" s="8"/>
      <c r="G326" s="9"/>
      <c r="H326" s="7"/>
      <c r="I326" s="6" t="str">
        <f aca="false">IF($A326="","",IFERROR(VLOOKUP($A326,Transcodifica!$A$5:$J$400,5,FALSE()),"NON MAPPATO"))</f>
        <v/>
      </c>
      <c r="J326" s="6" t="str">
        <f aca="false">IF($A326="","",IFERROR(VLOOKUP($A326,Transcodifica!$A$5:$J$400,7,FALSE()),""))</f>
        <v/>
      </c>
      <c r="K326" s="6" t="str">
        <f aca="false">IF($A326="","",IFERROR(VLOOKUP($A326,Transcodifica!$A$5:$J$400,8,FALSE()),""))</f>
        <v/>
      </c>
      <c r="L326" s="6" t="str">
        <f aca="false">IF($A326="","",IFERROR(VLOOKUP($A326,Transcodifica!$A$5:$J$400,9,FALSE()),""))</f>
        <v/>
      </c>
      <c r="M326" s="8" t="str">
        <f aca="false">IF($A326="","",IF($E326="APPROVATO",1,IF($E326="In svolgimento",IF($F326="",0,$F326),0)))</f>
        <v/>
      </c>
      <c r="N326" s="10" t="str">
        <f aca="false">IF(OR($A326="",$I326="NON MAPPATO",$I326=""),"",$L326*$M326)</f>
        <v/>
      </c>
    </row>
    <row r="327" customFormat="false" ht="15" hidden="false" customHeight="false" outlineLevel="0" collapsed="false">
      <c r="A327" s="6"/>
      <c r="B327" s="7"/>
      <c r="C327" s="6"/>
      <c r="D327" s="6"/>
      <c r="E327" s="6"/>
      <c r="F327" s="8"/>
      <c r="G327" s="9"/>
      <c r="H327" s="7"/>
      <c r="I327" s="6" t="str">
        <f aca="false">IF($A327="","",IFERROR(VLOOKUP($A327,Transcodifica!$A$5:$J$400,5,FALSE()),"NON MAPPATO"))</f>
        <v/>
      </c>
      <c r="J327" s="6" t="str">
        <f aca="false">IF($A327="","",IFERROR(VLOOKUP($A327,Transcodifica!$A$5:$J$400,7,FALSE()),""))</f>
        <v/>
      </c>
      <c r="K327" s="6" t="str">
        <f aca="false">IF($A327="","",IFERROR(VLOOKUP($A327,Transcodifica!$A$5:$J$400,8,FALSE()),""))</f>
        <v/>
      </c>
      <c r="L327" s="6" t="str">
        <f aca="false">IF($A327="","",IFERROR(VLOOKUP($A327,Transcodifica!$A$5:$J$400,9,FALSE()),""))</f>
        <v/>
      </c>
      <c r="M327" s="8" t="str">
        <f aca="false">IF($A327="","",IF($E327="APPROVATO",1,IF($E327="In svolgimento",IF($F327="",0,$F327),0)))</f>
        <v/>
      </c>
      <c r="N327" s="10" t="str">
        <f aca="false">IF(OR($A327="",$I327="NON MAPPATO",$I327=""),"",$L327*$M327)</f>
        <v/>
      </c>
    </row>
    <row r="328" customFormat="false" ht="15" hidden="false" customHeight="false" outlineLevel="0" collapsed="false">
      <c r="A328" s="6"/>
      <c r="B328" s="7"/>
      <c r="C328" s="6"/>
      <c r="D328" s="6"/>
      <c r="E328" s="6"/>
      <c r="F328" s="8"/>
      <c r="G328" s="9"/>
      <c r="H328" s="7"/>
      <c r="I328" s="6" t="str">
        <f aca="false">IF($A328="","",IFERROR(VLOOKUP($A328,Transcodifica!$A$5:$J$400,5,FALSE()),"NON MAPPATO"))</f>
        <v/>
      </c>
      <c r="J328" s="6" t="str">
        <f aca="false">IF($A328="","",IFERROR(VLOOKUP($A328,Transcodifica!$A$5:$J$400,7,FALSE()),""))</f>
        <v/>
      </c>
      <c r="K328" s="6" t="str">
        <f aca="false">IF($A328="","",IFERROR(VLOOKUP($A328,Transcodifica!$A$5:$J$400,8,FALSE()),""))</f>
        <v/>
      </c>
      <c r="L328" s="6" t="str">
        <f aca="false">IF($A328="","",IFERROR(VLOOKUP($A328,Transcodifica!$A$5:$J$400,9,FALSE()),""))</f>
        <v/>
      </c>
      <c r="M328" s="8" t="str">
        <f aca="false">IF($A328="","",IF($E328="APPROVATO",1,IF($E328="In svolgimento",IF($F328="",0,$F328),0)))</f>
        <v/>
      </c>
      <c r="N328" s="10" t="str">
        <f aca="false">IF(OR($A328="",$I328="NON MAPPATO",$I328=""),"",$L328*$M328)</f>
        <v/>
      </c>
    </row>
    <row r="329" customFormat="false" ht="15" hidden="false" customHeight="false" outlineLevel="0" collapsed="false">
      <c r="A329" s="6"/>
      <c r="B329" s="7"/>
      <c r="C329" s="6"/>
      <c r="D329" s="6"/>
      <c r="E329" s="6"/>
      <c r="F329" s="8"/>
      <c r="G329" s="9"/>
      <c r="H329" s="7"/>
      <c r="I329" s="6" t="str">
        <f aca="false">IF($A329="","",IFERROR(VLOOKUP($A329,Transcodifica!$A$5:$J$400,5,FALSE()),"NON MAPPATO"))</f>
        <v/>
      </c>
      <c r="J329" s="6" t="str">
        <f aca="false">IF($A329="","",IFERROR(VLOOKUP($A329,Transcodifica!$A$5:$J$400,7,FALSE()),""))</f>
        <v/>
      </c>
      <c r="K329" s="6" t="str">
        <f aca="false">IF($A329="","",IFERROR(VLOOKUP($A329,Transcodifica!$A$5:$J$400,8,FALSE()),""))</f>
        <v/>
      </c>
      <c r="L329" s="6" t="str">
        <f aca="false">IF($A329="","",IFERROR(VLOOKUP($A329,Transcodifica!$A$5:$J$400,9,FALSE()),""))</f>
        <v/>
      </c>
      <c r="M329" s="8" t="str">
        <f aca="false">IF($A329="","",IF($E329="APPROVATO",1,IF($E329="In svolgimento",IF($F329="",0,$F329),0)))</f>
        <v/>
      </c>
      <c r="N329" s="10" t="str">
        <f aca="false">IF(OR($A329="",$I329="NON MAPPATO",$I329=""),"",$L329*$M329)</f>
        <v/>
      </c>
    </row>
    <row r="330" customFormat="false" ht="15" hidden="false" customHeight="false" outlineLevel="0" collapsed="false">
      <c r="A330" s="6"/>
      <c r="B330" s="7"/>
      <c r="C330" s="6"/>
      <c r="D330" s="6"/>
      <c r="E330" s="6"/>
      <c r="F330" s="8"/>
      <c r="G330" s="9"/>
      <c r="H330" s="7"/>
      <c r="I330" s="6" t="str">
        <f aca="false">IF($A330="","",IFERROR(VLOOKUP($A330,Transcodifica!$A$5:$J$400,5,FALSE()),"NON MAPPATO"))</f>
        <v/>
      </c>
      <c r="J330" s="6" t="str">
        <f aca="false">IF($A330="","",IFERROR(VLOOKUP($A330,Transcodifica!$A$5:$J$400,7,FALSE()),""))</f>
        <v/>
      </c>
      <c r="K330" s="6" t="str">
        <f aca="false">IF($A330="","",IFERROR(VLOOKUP($A330,Transcodifica!$A$5:$J$400,8,FALSE()),""))</f>
        <v/>
      </c>
      <c r="L330" s="6" t="str">
        <f aca="false">IF($A330="","",IFERROR(VLOOKUP($A330,Transcodifica!$A$5:$J$400,9,FALSE()),""))</f>
        <v/>
      </c>
      <c r="M330" s="8" t="str">
        <f aca="false">IF($A330="","",IF($E330="APPROVATO",1,IF($E330="In svolgimento",IF($F330="",0,$F330),0)))</f>
        <v/>
      </c>
      <c r="N330" s="10" t="str">
        <f aca="false">IF(OR($A330="",$I330="NON MAPPATO",$I330=""),"",$L330*$M330)</f>
        <v/>
      </c>
    </row>
    <row r="331" customFormat="false" ht="15" hidden="false" customHeight="false" outlineLevel="0" collapsed="false">
      <c r="A331" s="6"/>
      <c r="B331" s="7"/>
      <c r="C331" s="6"/>
      <c r="D331" s="6"/>
      <c r="E331" s="6"/>
      <c r="F331" s="8"/>
      <c r="G331" s="9"/>
      <c r="H331" s="7"/>
      <c r="I331" s="6" t="str">
        <f aca="false">IF($A331="","",IFERROR(VLOOKUP($A331,Transcodifica!$A$5:$J$400,5,FALSE()),"NON MAPPATO"))</f>
        <v/>
      </c>
      <c r="J331" s="6" t="str">
        <f aca="false">IF($A331="","",IFERROR(VLOOKUP($A331,Transcodifica!$A$5:$J$400,7,FALSE()),""))</f>
        <v/>
      </c>
      <c r="K331" s="6" t="str">
        <f aca="false">IF($A331="","",IFERROR(VLOOKUP($A331,Transcodifica!$A$5:$J$400,8,FALSE()),""))</f>
        <v/>
      </c>
      <c r="L331" s="6" t="str">
        <f aca="false">IF($A331="","",IFERROR(VLOOKUP($A331,Transcodifica!$A$5:$J$400,9,FALSE()),""))</f>
        <v/>
      </c>
      <c r="M331" s="8" t="str">
        <f aca="false">IF($A331="","",IF($E331="APPROVATO",1,IF($E331="In svolgimento",IF($F331="",0,$F331),0)))</f>
        <v/>
      </c>
      <c r="N331" s="10" t="str">
        <f aca="false">IF(OR($A331="",$I331="NON MAPPATO",$I331=""),"",$L331*$M331)</f>
        <v/>
      </c>
    </row>
    <row r="332" customFormat="false" ht="15" hidden="false" customHeight="false" outlineLevel="0" collapsed="false">
      <c r="A332" s="6"/>
      <c r="B332" s="7"/>
      <c r="C332" s="6"/>
      <c r="D332" s="6"/>
      <c r="E332" s="6"/>
      <c r="F332" s="8"/>
      <c r="G332" s="9"/>
      <c r="H332" s="7"/>
      <c r="I332" s="6" t="str">
        <f aca="false">IF($A332="","",IFERROR(VLOOKUP($A332,Transcodifica!$A$5:$J$400,5,FALSE()),"NON MAPPATO"))</f>
        <v/>
      </c>
      <c r="J332" s="6" t="str">
        <f aca="false">IF($A332="","",IFERROR(VLOOKUP($A332,Transcodifica!$A$5:$J$400,7,FALSE()),""))</f>
        <v/>
      </c>
      <c r="K332" s="6" t="str">
        <f aca="false">IF($A332="","",IFERROR(VLOOKUP($A332,Transcodifica!$A$5:$J$400,8,FALSE()),""))</f>
        <v/>
      </c>
      <c r="L332" s="6" t="str">
        <f aca="false">IF($A332="","",IFERROR(VLOOKUP($A332,Transcodifica!$A$5:$J$400,9,FALSE()),""))</f>
        <v/>
      </c>
      <c r="M332" s="8" t="str">
        <f aca="false">IF($A332="","",IF($E332="APPROVATO",1,IF($E332="In svolgimento",IF($F332="",0,$F332),0)))</f>
        <v/>
      </c>
      <c r="N332" s="10" t="str">
        <f aca="false">IF(OR($A332="",$I332="NON MAPPATO",$I332=""),"",$L332*$M332)</f>
        <v/>
      </c>
    </row>
    <row r="333" customFormat="false" ht="15" hidden="false" customHeight="false" outlineLevel="0" collapsed="false">
      <c r="A333" s="6"/>
      <c r="B333" s="7"/>
      <c r="C333" s="6"/>
      <c r="D333" s="6"/>
      <c r="E333" s="6"/>
      <c r="F333" s="8"/>
      <c r="G333" s="9"/>
      <c r="H333" s="7"/>
      <c r="I333" s="6" t="str">
        <f aca="false">IF($A333="","",IFERROR(VLOOKUP($A333,Transcodifica!$A$5:$J$400,5,FALSE()),"NON MAPPATO"))</f>
        <v/>
      </c>
      <c r="J333" s="6" t="str">
        <f aca="false">IF($A333="","",IFERROR(VLOOKUP($A333,Transcodifica!$A$5:$J$400,7,FALSE()),""))</f>
        <v/>
      </c>
      <c r="K333" s="6" t="str">
        <f aca="false">IF($A333="","",IFERROR(VLOOKUP($A333,Transcodifica!$A$5:$J$400,8,FALSE()),""))</f>
        <v/>
      </c>
      <c r="L333" s="6" t="str">
        <f aca="false">IF($A333="","",IFERROR(VLOOKUP($A333,Transcodifica!$A$5:$J$400,9,FALSE()),""))</f>
        <v/>
      </c>
      <c r="M333" s="8" t="str">
        <f aca="false">IF($A333="","",IF($E333="APPROVATO",1,IF($E333="In svolgimento",IF($F333="",0,$F333),0)))</f>
        <v/>
      </c>
      <c r="N333" s="10" t="str">
        <f aca="false">IF(OR($A333="",$I333="NON MAPPATO",$I333=""),"",$L333*$M333)</f>
        <v/>
      </c>
    </row>
    <row r="334" customFormat="false" ht="15" hidden="false" customHeight="false" outlineLevel="0" collapsed="false">
      <c r="A334" s="6"/>
      <c r="B334" s="7"/>
      <c r="C334" s="6"/>
      <c r="D334" s="6"/>
      <c r="E334" s="6"/>
      <c r="F334" s="8"/>
      <c r="G334" s="9"/>
      <c r="H334" s="7"/>
      <c r="I334" s="6" t="str">
        <f aca="false">IF($A334="","",IFERROR(VLOOKUP($A334,Transcodifica!$A$5:$J$400,5,FALSE()),"NON MAPPATO"))</f>
        <v/>
      </c>
      <c r="J334" s="6" t="str">
        <f aca="false">IF($A334="","",IFERROR(VLOOKUP($A334,Transcodifica!$A$5:$J$400,7,FALSE()),""))</f>
        <v/>
      </c>
      <c r="K334" s="6" t="str">
        <f aca="false">IF($A334="","",IFERROR(VLOOKUP($A334,Transcodifica!$A$5:$J$400,8,FALSE()),""))</f>
        <v/>
      </c>
      <c r="L334" s="6" t="str">
        <f aca="false">IF($A334="","",IFERROR(VLOOKUP($A334,Transcodifica!$A$5:$J$400,9,FALSE()),""))</f>
        <v/>
      </c>
      <c r="M334" s="8" t="str">
        <f aca="false">IF($A334="","",IF($E334="APPROVATO",1,IF($E334="In svolgimento",IF($F334="",0,$F334),0)))</f>
        <v/>
      </c>
      <c r="N334" s="10" t="str">
        <f aca="false">IF(OR($A334="",$I334="NON MAPPATO",$I334=""),"",$L334*$M334)</f>
        <v/>
      </c>
    </row>
    <row r="335" customFormat="false" ht="15" hidden="false" customHeight="false" outlineLevel="0" collapsed="false">
      <c r="A335" s="6"/>
      <c r="B335" s="7"/>
      <c r="C335" s="6"/>
      <c r="D335" s="6"/>
      <c r="E335" s="6"/>
      <c r="F335" s="8"/>
      <c r="G335" s="9"/>
      <c r="H335" s="7"/>
      <c r="I335" s="6" t="str">
        <f aca="false">IF($A335="","",IFERROR(VLOOKUP($A335,Transcodifica!$A$5:$J$400,5,FALSE()),"NON MAPPATO"))</f>
        <v/>
      </c>
      <c r="J335" s="6" t="str">
        <f aca="false">IF($A335="","",IFERROR(VLOOKUP($A335,Transcodifica!$A$5:$J$400,7,FALSE()),""))</f>
        <v/>
      </c>
      <c r="K335" s="6" t="str">
        <f aca="false">IF($A335="","",IFERROR(VLOOKUP($A335,Transcodifica!$A$5:$J$400,8,FALSE()),""))</f>
        <v/>
      </c>
      <c r="L335" s="6" t="str">
        <f aca="false">IF($A335="","",IFERROR(VLOOKUP($A335,Transcodifica!$A$5:$J$400,9,FALSE()),""))</f>
        <v/>
      </c>
      <c r="M335" s="8" t="str">
        <f aca="false">IF($A335="","",IF($E335="APPROVATO",1,IF($E335="In svolgimento",IF($F335="",0,$F335),0)))</f>
        <v/>
      </c>
      <c r="N335" s="10" t="str">
        <f aca="false">IF(OR($A335="",$I335="NON MAPPATO",$I335=""),"",$L335*$M335)</f>
        <v/>
      </c>
    </row>
    <row r="336" customFormat="false" ht="15" hidden="false" customHeight="false" outlineLevel="0" collapsed="false">
      <c r="A336" s="6"/>
      <c r="B336" s="7"/>
      <c r="C336" s="6"/>
      <c r="D336" s="6"/>
      <c r="E336" s="6"/>
      <c r="F336" s="8"/>
      <c r="G336" s="9"/>
      <c r="H336" s="7"/>
      <c r="I336" s="6" t="str">
        <f aca="false">IF($A336="","",IFERROR(VLOOKUP($A336,Transcodifica!$A$5:$J$400,5,FALSE()),"NON MAPPATO"))</f>
        <v/>
      </c>
      <c r="J336" s="6" t="str">
        <f aca="false">IF($A336="","",IFERROR(VLOOKUP($A336,Transcodifica!$A$5:$J$400,7,FALSE()),""))</f>
        <v/>
      </c>
      <c r="K336" s="6" t="str">
        <f aca="false">IF($A336="","",IFERROR(VLOOKUP($A336,Transcodifica!$A$5:$J$400,8,FALSE()),""))</f>
        <v/>
      </c>
      <c r="L336" s="6" t="str">
        <f aca="false">IF($A336="","",IFERROR(VLOOKUP($A336,Transcodifica!$A$5:$J$400,9,FALSE()),""))</f>
        <v/>
      </c>
      <c r="M336" s="8" t="str">
        <f aca="false">IF($A336="","",IF($E336="APPROVATO",1,IF($E336="In svolgimento",IF($F336="",0,$F336),0)))</f>
        <v/>
      </c>
      <c r="N336" s="10" t="str">
        <f aca="false">IF(OR($A336="",$I336="NON MAPPATO",$I336=""),"",$L336*$M336)</f>
        <v/>
      </c>
    </row>
    <row r="337" customFormat="false" ht="15" hidden="false" customHeight="false" outlineLevel="0" collapsed="false">
      <c r="A337" s="6"/>
      <c r="B337" s="7"/>
      <c r="C337" s="6"/>
      <c r="D337" s="6"/>
      <c r="E337" s="6"/>
      <c r="F337" s="8"/>
      <c r="G337" s="9"/>
      <c r="H337" s="7"/>
      <c r="I337" s="6" t="str">
        <f aca="false">IF($A337="","",IFERROR(VLOOKUP($A337,Transcodifica!$A$5:$J$400,5,FALSE()),"NON MAPPATO"))</f>
        <v/>
      </c>
      <c r="J337" s="6" t="str">
        <f aca="false">IF($A337="","",IFERROR(VLOOKUP($A337,Transcodifica!$A$5:$J$400,7,FALSE()),""))</f>
        <v/>
      </c>
      <c r="K337" s="6" t="str">
        <f aca="false">IF($A337="","",IFERROR(VLOOKUP($A337,Transcodifica!$A$5:$J$400,8,FALSE()),""))</f>
        <v/>
      </c>
      <c r="L337" s="6" t="str">
        <f aca="false">IF($A337="","",IFERROR(VLOOKUP($A337,Transcodifica!$A$5:$J$400,9,FALSE()),""))</f>
        <v/>
      </c>
      <c r="M337" s="8" t="str">
        <f aca="false">IF($A337="","",IF($E337="APPROVATO",1,IF($E337="In svolgimento",IF($F337="",0,$F337),0)))</f>
        <v/>
      </c>
      <c r="N337" s="10" t="str">
        <f aca="false">IF(OR($A337="",$I337="NON MAPPATO",$I337=""),"",$L337*$M337)</f>
        <v/>
      </c>
    </row>
    <row r="338" customFormat="false" ht="15" hidden="false" customHeight="false" outlineLevel="0" collapsed="false">
      <c r="A338" s="6"/>
      <c r="B338" s="7"/>
      <c r="C338" s="6"/>
      <c r="D338" s="6"/>
      <c r="E338" s="6"/>
      <c r="F338" s="8"/>
      <c r="G338" s="9"/>
      <c r="H338" s="7"/>
      <c r="I338" s="6" t="str">
        <f aca="false">IF($A338="","",IFERROR(VLOOKUP($A338,Transcodifica!$A$5:$J$400,5,FALSE()),"NON MAPPATO"))</f>
        <v/>
      </c>
      <c r="J338" s="6" t="str">
        <f aca="false">IF($A338="","",IFERROR(VLOOKUP($A338,Transcodifica!$A$5:$J$400,7,FALSE()),""))</f>
        <v/>
      </c>
      <c r="K338" s="6" t="str">
        <f aca="false">IF($A338="","",IFERROR(VLOOKUP($A338,Transcodifica!$A$5:$J$400,8,FALSE()),""))</f>
        <v/>
      </c>
      <c r="L338" s="6" t="str">
        <f aca="false">IF($A338="","",IFERROR(VLOOKUP($A338,Transcodifica!$A$5:$J$400,9,FALSE()),""))</f>
        <v/>
      </c>
      <c r="M338" s="8" t="str">
        <f aca="false">IF($A338="","",IF($E338="APPROVATO",1,IF($E338="In svolgimento",IF($F338="",0,$F338),0)))</f>
        <v/>
      </c>
      <c r="N338" s="10" t="str">
        <f aca="false">IF(OR($A338="",$I338="NON MAPPATO",$I338=""),"",$L338*$M338)</f>
        <v/>
      </c>
    </row>
    <row r="339" customFormat="false" ht="15" hidden="false" customHeight="false" outlineLevel="0" collapsed="false">
      <c r="A339" s="6"/>
      <c r="B339" s="7"/>
      <c r="C339" s="6"/>
      <c r="D339" s="6"/>
      <c r="E339" s="6"/>
      <c r="F339" s="8"/>
      <c r="G339" s="9"/>
      <c r="H339" s="7"/>
      <c r="I339" s="6" t="str">
        <f aca="false">IF($A339="","",IFERROR(VLOOKUP($A339,Transcodifica!$A$5:$J$400,5,FALSE()),"NON MAPPATO"))</f>
        <v/>
      </c>
      <c r="J339" s="6" t="str">
        <f aca="false">IF($A339="","",IFERROR(VLOOKUP($A339,Transcodifica!$A$5:$J$400,7,FALSE()),""))</f>
        <v/>
      </c>
      <c r="K339" s="6" t="str">
        <f aca="false">IF($A339="","",IFERROR(VLOOKUP($A339,Transcodifica!$A$5:$J$400,8,FALSE()),""))</f>
        <v/>
      </c>
      <c r="L339" s="6" t="str">
        <f aca="false">IF($A339="","",IFERROR(VLOOKUP($A339,Transcodifica!$A$5:$J$400,9,FALSE()),""))</f>
        <v/>
      </c>
      <c r="M339" s="8" t="str">
        <f aca="false">IF($A339="","",IF($E339="APPROVATO",1,IF($E339="In svolgimento",IF($F339="",0,$F339),0)))</f>
        <v/>
      </c>
      <c r="N339" s="10" t="str">
        <f aca="false">IF(OR($A339="",$I339="NON MAPPATO",$I339=""),"",$L339*$M339)</f>
        <v/>
      </c>
    </row>
    <row r="340" customFormat="false" ht="15" hidden="false" customHeight="false" outlineLevel="0" collapsed="false">
      <c r="A340" s="6"/>
      <c r="B340" s="7"/>
      <c r="C340" s="6"/>
      <c r="D340" s="6"/>
      <c r="E340" s="6"/>
      <c r="F340" s="8"/>
      <c r="G340" s="9"/>
      <c r="H340" s="7"/>
      <c r="I340" s="6" t="str">
        <f aca="false">IF($A340="","",IFERROR(VLOOKUP($A340,Transcodifica!$A$5:$J$400,5,FALSE()),"NON MAPPATO"))</f>
        <v/>
      </c>
      <c r="J340" s="6" t="str">
        <f aca="false">IF($A340="","",IFERROR(VLOOKUP($A340,Transcodifica!$A$5:$J$400,7,FALSE()),""))</f>
        <v/>
      </c>
      <c r="K340" s="6" t="str">
        <f aca="false">IF($A340="","",IFERROR(VLOOKUP($A340,Transcodifica!$A$5:$J$400,8,FALSE()),""))</f>
        <v/>
      </c>
      <c r="L340" s="6" t="str">
        <f aca="false">IF($A340="","",IFERROR(VLOOKUP($A340,Transcodifica!$A$5:$J$400,9,FALSE()),""))</f>
        <v/>
      </c>
      <c r="M340" s="8" t="str">
        <f aca="false">IF($A340="","",IF($E340="APPROVATO",1,IF($E340="In svolgimento",IF($F340="",0,$F340),0)))</f>
        <v/>
      </c>
      <c r="N340" s="10" t="str">
        <f aca="false">IF(OR($A340="",$I340="NON MAPPATO",$I340=""),"",$L340*$M340)</f>
        <v/>
      </c>
    </row>
    <row r="341" customFormat="false" ht="15" hidden="false" customHeight="false" outlineLevel="0" collapsed="false">
      <c r="A341" s="6"/>
      <c r="B341" s="7"/>
      <c r="C341" s="6"/>
      <c r="D341" s="6"/>
      <c r="E341" s="6"/>
      <c r="F341" s="8"/>
      <c r="G341" s="9"/>
      <c r="H341" s="7"/>
      <c r="I341" s="6" t="str">
        <f aca="false">IF($A341="","",IFERROR(VLOOKUP($A341,Transcodifica!$A$5:$J$400,5,FALSE()),"NON MAPPATO"))</f>
        <v/>
      </c>
      <c r="J341" s="6" t="str">
        <f aca="false">IF($A341="","",IFERROR(VLOOKUP($A341,Transcodifica!$A$5:$J$400,7,FALSE()),""))</f>
        <v/>
      </c>
      <c r="K341" s="6" t="str">
        <f aca="false">IF($A341="","",IFERROR(VLOOKUP($A341,Transcodifica!$A$5:$J$400,8,FALSE()),""))</f>
        <v/>
      </c>
      <c r="L341" s="6" t="str">
        <f aca="false">IF($A341="","",IFERROR(VLOOKUP($A341,Transcodifica!$A$5:$J$400,9,FALSE()),""))</f>
        <v/>
      </c>
      <c r="M341" s="8" t="str">
        <f aca="false">IF($A341="","",IF($E341="APPROVATO",1,IF($E341="In svolgimento",IF($F341="",0,$F341),0)))</f>
        <v/>
      </c>
      <c r="N341" s="10" t="str">
        <f aca="false">IF(OR($A341="",$I341="NON MAPPATO",$I341=""),"",$L341*$M341)</f>
        <v/>
      </c>
    </row>
    <row r="342" customFormat="false" ht="15" hidden="false" customHeight="false" outlineLevel="0" collapsed="false">
      <c r="A342" s="6"/>
      <c r="B342" s="7"/>
      <c r="C342" s="6"/>
      <c r="D342" s="6"/>
      <c r="E342" s="6"/>
      <c r="F342" s="8"/>
      <c r="G342" s="9"/>
      <c r="H342" s="7"/>
      <c r="I342" s="6" t="str">
        <f aca="false">IF($A342="","",IFERROR(VLOOKUP($A342,Transcodifica!$A$5:$J$400,5,FALSE()),"NON MAPPATO"))</f>
        <v/>
      </c>
      <c r="J342" s="6" t="str">
        <f aca="false">IF($A342="","",IFERROR(VLOOKUP($A342,Transcodifica!$A$5:$J$400,7,FALSE()),""))</f>
        <v/>
      </c>
      <c r="K342" s="6" t="str">
        <f aca="false">IF($A342="","",IFERROR(VLOOKUP($A342,Transcodifica!$A$5:$J$400,8,FALSE()),""))</f>
        <v/>
      </c>
      <c r="L342" s="6" t="str">
        <f aca="false">IF($A342="","",IFERROR(VLOOKUP($A342,Transcodifica!$A$5:$J$400,9,FALSE()),""))</f>
        <v/>
      </c>
      <c r="M342" s="8" t="str">
        <f aca="false">IF($A342="","",IF($E342="APPROVATO",1,IF($E342="In svolgimento",IF($F342="",0,$F342),0)))</f>
        <v/>
      </c>
      <c r="N342" s="10" t="str">
        <f aca="false">IF(OR($A342="",$I342="NON MAPPATO",$I342=""),"",$L342*$M342)</f>
        <v/>
      </c>
    </row>
    <row r="343" customFormat="false" ht="15" hidden="false" customHeight="false" outlineLevel="0" collapsed="false">
      <c r="A343" s="6"/>
      <c r="B343" s="7"/>
      <c r="C343" s="6"/>
      <c r="D343" s="6"/>
      <c r="E343" s="6"/>
      <c r="F343" s="8"/>
      <c r="G343" s="9"/>
      <c r="H343" s="7"/>
      <c r="I343" s="6" t="str">
        <f aca="false">IF($A343="","",IFERROR(VLOOKUP($A343,Transcodifica!$A$5:$J$400,5,FALSE()),"NON MAPPATO"))</f>
        <v/>
      </c>
      <c r="J343" s="6" t="str">
        <f aca="false">IF($A343="","",IFERROR(VLOOKUP($A343,Transcodifica!$A$5:$J$400,7,FALSE()),""))</f>
        <v/>
      </c>
      <c r="K343" s="6" t="str">
        <f aca="false">IF($A343="","",IFERROR(VLOOKUP($A343,Transcodifica!$A$5:$J$400,8,FALSE()),""))</f>
        <v/>
      </c>
      <c r="L343" s="6" t="str">
        <f aca="false">IF($A343="","",IFERROR(VLOOKUP($A343,Transcodifica!$A$5:$J$400,9,FALSE()),""))</f>
        <v/>
      </c>
      <c r="M343" s="8" t="str">
        <f aca="false">IF($A343="","",IF($E343="APPROVATO",1,IF($E343="In svolgimento",IF($F343="",0,$F343),0)))</f>
        <v/>
      </c>
      <c r="N343" s="10" t="str">
        <f aca="false">IF(OR($A343="",$I343="NON MAPPATO",$I343=""),"",$L343*$M343)</f>
        <v/>
      </c>
    </row>
    <row r="344" customFormat="false" ht="15" hidden="false" customHeight="false" outlineLevel="0" collapsed="false">
      <c r="A344" s="6"/>
      <c r="B344" s="7"/>
      <c r="C344" s="6"/>
      <c r="D344" s="6"/>
      <c r="E344" s="6"/>
      <c r="F344" s="8"/>
      <c r="G344" s="9"/>
      <c r="H344" s="7"/>
      <c r="I344" s="6" t="str">
        <f aca="false">IF($A344="","",IFERROR(VLOOKUP($A344,Transcodifica!$A$5:$J$400,5,FALSE()),"NON MAPPATO"))</f>
        <v/>
      </c>
      <c r="J344" s="6" t="str">
        <f aca="false">IF($A344="","",IFERROR(VLOOKUP($A344,Transcodifica!$A$5:$J$400,7,FALSE()),""))</f>
        <v/>
      </c>
      <c r="K344" s="6" t="str">
        <f aca="false">IF($A344="","",IFERROR(VLOOKUP($A344,Transcodifica!$A$5:$J$400,8,FALSE()),""))</f>
        <v/>
      </c>
      <c r="L344" s="6" t="str">
        <f aca="false">IF($A344="","",IFERROR(VLOOKUP($A344,Transcodifica!$A$5:$J$400,9,FALSE()),""))</f>
        <v/>
      </c>
      <c r="M344" s="8" t="str">
        <f aca="false">IF($A344="","",IF($E344="APPROVATO",1,IF($E344="In svolgimento",IF($F344="",0,$F344),0)))</f>
        <v/>
      </c>
      <c r="N344" s="10" t="str">
        <f aca="false">IF(OR($A344="",$I344="NON MAPPATO",$I344=""),"",$L344*$M344)</f>
        <v/>
      </c>
    </row>
    <row r="345" customFormat="false" ht="15" hidden="false" customHeight="false" outlineLevel="0" collapsed="false">
      <c r="A345" s="6"/>
      <c r="B345" s="7"/>
      <c r="C345" s="6"/>
      <c r="D345" s="6"/>
      <c r="E345" s="6"/>
      <c r="F345" s="8"/>
      <c r="G345" s="9"/>
      <c r="H345" s="7"/>
      <c r="I345" s="6" t="str">
        <f aca="false">IF($A345="","",IFERROR(VLOOKUP($A345,Transcodifica!$A$5:$J$400,5,FALSE()),"NON MAPPATO"))</f>
        <v/>
      </c>
      <c r="J345" s="6" t="str">
        <f aca="false">IF($A345="","",IFERROR(VLOOKUP($A345,Transcodifica!$A$5:$J$400,7,FALSE()),""))</f>
        <v/>
      </c>
      <c r="K345" s="6" t="str">
        <f aca="false">IF($A345="","",IFERROR(VLOOKUP($A345,Transcodifica!$A$5:$J$400,8,FALSE()),""))</f>
        <v/>
      </c>
      <c r="L345" s="6" t="str">
        <f aca="false">IF($A345="","",IFERROR(VLOOKUP($A345,Transcodifica!$A$5:$J$400,9,FALSE()),""))</f>
        <v/>
      </c>
      <c r="M345" s="8" t="str">
        <f aca="false">IF($A345="","",IF($E345="APPROVATO",1,IF($E345="In svolgimento",IF($F345="",0,$F345),0)))</f>
        <v/>
      </c>
      <c r="N345" s="10" t="str">
        <f aca="false">IF(OR($A345="",$I345="NON MAPPATO",$I345=""),"",$L345*$M345)</f>
        <v/>
      </c>
    </row>
    <row r="346" customFormat="false" ht="15" hidden="false" customHeight="false" outlineLevel="0" collapsed="false">
      <c r="A346" s="6"/>
      <c r="B346" s="7"/>
      <c r="C346" s="6"/>
      <c r="D346" s="6"/>
      <c r="E346" s="6"/>
      <c r="F346" s="8"/>
      <c r="G346" s="9"/>
      <c r="H346" s="7"/>
      <c r="I346" s="6" t="str">
        <f aca="false">IF($A346="","",IFERROR(VLOOKUP($A346,Transcodifica!$A$5:$J$400,5,FALSE()),"NON MAPPATO"))</f>
        <v/>
      </c>
      <c r="J346" s="6" t="str">
        <f aca="false">IF($A346="","",IFERROR(VLOOKUP($A346,Transcodifica!$A$5:$J$400,7,FALSE()),""))</f>
        <v/>
      </c>
      <c r="K346" s="6" t="str">
        <f aca="false">IF($A346="","",IFERROR(VLOOKUP($A346,Transcodifica!$A$5:$J$400,8,FALSE()),""))</f>
        <v/>
      </c>
      <c r="L346" s="6" t="str">
        <f aca="false">IF($A346="","",IFERROR(VLOOKUP($A346,Transcodifica!$A$5:$J$400,9,FALSE()),""))</f>
        <v/>
      </c>
      <c r="M346" s="8" t="str">
        <f aca="false">IF($A346="","",IF($E346="APPROVATO",1,IF($E346="In svolgimento",IF($F346="",0,$F346),0)))</f>
        <v/>
      </c>
      <c r="N346" s="10" t="str">
        <f aca="false">IF(OR($A346="",$I346="NON MAPPATO",$I346=""),"",$L346*$M346)</f>
        <v/>
      </c>
    </row>
    <row r="347" customFormat="false" ht="15" hidden="false" customHeight="false" outlineLevel="0" collapsed="false">
      <c r="A347" s="6"/>
      <c r="B347" s="7"/>
      <c r="C347" s="6"/>
      <c r="D347" s="6"/>
      <c r="E347" s="6"/>
      <c r="F347" s="8"/>
      <c r="G347" s="9"/>
      <c r="H347" s="7"/>
      <c r="I347" s="6" t="str">
        <f aca="false">IF($A347="","",IFERROR(VLOOKUP($A347,Transcodifica!$A$5:$J$400,5,FALSE()),"NON MAPPATO"))</f>
        <v/>
      </c>
      <c r="J347" s="6" t="str">
        <f aca="false">IF($A347="","",IFERROR(VLOOKUP($A347,Transcodifica!$A$5:$J$400,7,FALSE()),""))</f>
        <v/>
      </c>
      <c r="K347" s="6" t="str">
        <f aca="false">IF($A347="","",IFERROR(VLOOKUP($A347,Transcodifica!$A$5:$J$400,8,FALSE()),""))</f>
        <v/>
      </c>
      <c r="L347" s="6" t="str">
        <f aca="false">IF($A347="","",IFERROR(VLOOKUP($A347,Transcodifica!$A$5:$J$400,9,FALSE()),""))</f>
        <v/>
      </c>
      <c r="M347" s="8" t="str">
        <f aca="false">IF($A347="","",IF($E347="APPROVATO",1,IF($E347="In svolgimento",IF($F347="",0,$F347),0)))</f>
        <v/>
      </c>
      <c r="N347" s="10" t="str">
        <f aca="false">IF(OR($A347="",$I347="NON MAPPATO",$I347=""),"",$L347*$M347)</f>
        <v/>
      </c>
    </row>
    <row r="348" customFormat="false" ht="15" hidden="false" customHeight="false" outlineLevel="0" collapsed="false">
      <c r="A348" s="6"/>
      <c r="B348" s="7"/>
      <c r="C348" s="6"/>
      <c r="D348" s="6"/>
      <c r="E348" s="6"/>
      <c r="F348" s="8"/>
      <c r="G348" s="9"/>
      <c r="H348" s="7"/>
      <c r="I348" s="6" t="str">
        <f aca="false">IF($A348="","",IFERROR(VLOOKUP($A348,Transcodifica!$A$5:$J$400,5,FALSE()),"NON MAPPATO"))</f>
        <v/>
      </c>
      <c r="J348" s="6" t="str">
        <f aca="false">IF($A348="","",IFERROR(VLOOKUP($A348,Transcodifica!$A$5:$J$400,7,FALSE()),""))</f>
        <v/>
      </c>
      <c r="K348" s="6" t="str">
        <f aca="false">IF($A348="","",IFERROR(VLOOKUP($A348,Transcodifica!$A$5:$J$400,8,FALSE()),""))</f>
        <v/>
      </c>
      <c r="L348" s="6" t="str">
        <f aca="false">IF($A348="","",IFERROR(VLOOKUP($A348,Transcodifica!$A$5:$J$400,9,FALSE()),""))</f>
        <v/>
      </c>
      <c r="M348" s="8" t="str">
        <f aca="false">IF($A348="","",IF($E348="APPROVATO",1,IF($E348="In svolgimento",IF($F348="",0,$F348),0)))</f>
        <v/>
      </c>
      <c r="N348" s="10" t="str">
        <f aca="false">IF(OR($A348="",$I348="NON MAPPATO",$I348=""),"",$L348*$M348)</f>
        <v/>
      </c>
    </row>
    <row r="349" customFormat="false" ht="15" hidden="false" customHeight="false" outlineLevel="0" collapsed="false">
      <c r="A349" s="6"/>
      <c r="B349" s="7"/>
      <c r="C349" s="6"/>
      <c r="D349" s="6"/>
      <c r="E349" s="6"/>
      <c r="F349" s="8"/>
      <c r="G349" s="9"/>
      <c r="H349" s="7"/>
      <c r="I349" s="6" t="str">
        <f aca="false">IF($A349="","",IFERROR(VLOOKUP($A349,Transcodifica!$A$5:$J$400,5,FALSE()),"NON MAPPATO"))</f>
        <v/>
      </c>
      <c r="J349" s="6" t="str">
        <f aca="false">IF($A349="","",IFERROR(VLOOKUP($A349,Transcodifica!$A$5:$J$400,7,FALSE()),""))</f>
        <v/>
      </c>
      <c r="K349" s="6" t="str">
        <f aca="false">IF($A349="","",IFERROR(VLOOKUP($A349,Transcodifica!$A$5:$J$400,8,FALSE()),""))</f>
        <v/>
      </c>
      <c r="L349" s="6" t="str">
        <f aca="false">IF($A349="","",IFERROR(VLOOKUP($A349,Transcodifica!$A$5:$J$400,9,FALSE()),""))</f>
        <v/>
      </c>
      <c r="M349" s="8" t="str">
        <f aca="false">IF($A349="","",IF($E349="APPROVATO",1,IF($E349="In svolgimento",IF($F349="",0,$F349),0)))</f>
        <v/>
      </c>
      <c r="N349" s="10" t="str">
        <f aca="false">IF(OR($A349="",$I349="NON MAPPATO",$I349=""),"",$L349*$M349)</f>
        <v/>
      </c>
    </row>
    <row r="350" customFormat="false" ht="15" hidden="false" customHeight="false" outlineLevel="0" collapsed="false">
      <c r="A350" s="6"/>
      <c r="B350" s="7"/>
      <c r="C350" s="6"/>
      <c r="D350" s="6"/>
      <c r="E350" s="6"/>
      <c r="F350" s="8"/>
      <c r="G350" s="9"/>
      <c r="H350" s="7"/>
      <c r="I350" s="6" t="str">
        <f aca="false">IF($A350="","",IFERROR(VLOOKUP($A350,Transcodifica!$A$5:$J$400,5,FALSE()),"NON MAPPATO"))</f>
        <v/>
      </c>
      <c r="J350" s="6" t="str">
        <f aca="false">IF($A350="","",IFERROR(VLOOKUP($A350,Transcodifica!$A$5:$J$400,7,FALSE()),""))</f>
        <v/>
      </c>
      <c r="K350" s="6" t="str">
        <f aca="false">IF($A350="","",IFERROR(VLOOKUP($A350,Transcodifica!$A$5:$J$400,8,FALSE()),""))</f>
        <v/>
      </c>
      <c r="L350" s="6" t="str">
        <f aca="false">IF($A350="","",IFERROR(VLOOKUP($A350,Transcodifica!$A$5:$J$400,9,FALSE()),""))</f>
        <v/>
      </c>
      <c r="M350" s="8" t="str">
        <f aca="false">IF($A350="","",IF($E350="APPROVATO",1,IF($E350="In svolgimento",IF($F350="",0,$F350),0)))</f>
        <v/>
      </c>
      <c r="N350" s="10" t="str">
        <f aca="false">IF(OR($A350="",$I350="NON MAPPATO",$I350=""),"",$L350*$M350)</f>
        <v/>
      </c>
    </row>
    <row r="351" customFormat="false" ht="15" hidden="false" customHeight="false" outlineLevel="0" collapsed="false">
      <c r="A351" s="6"/>
      <c r="B351" s="7"/>
      <c r="C351" s="6"/>
      <c r="D351" s="6"/>
      <c r="E351" s="6"/>
      <c r="F351" s="8"/>
      <c r="G351" s="9"/>
      <c r="H351" s="7"/>
      <c r="I351" s="6" t="str">
        <f aca="false">IF($A351="","",IFERROR(VLOOKUP($A351,Transcodifica!$A$5:$J$400,5,FALSE()),"NON MAPPATO"))</f>
        <v/>
      </c>
      <c r="J351" s="6" t="str">
        <f aca="false">IF($A351="","",IFERROR(VLOOKUP($A351,Transcodifica!$A$5:$J$400,7,FALSE()),""))</f>
        <v/>
      </c>
      <c r="K351" s="6" t="str">
        <f aca="false">IF($A351="","",IFERROR(VLOOKUP($A351,Transcodifica!$A$5:$J$400,8,FALSE()),""))</f>
        <v/>
      </c>
      <c r="L351" s="6" t="str">
        <f aca="false">IF($A351="","",IFERROR(VLOOKUP($A351,Transcodifica!$A$5:$J$400,9,FALSE()),""))</f>
        <v/>
      </c>
      <c r="M351" s="8" t="str">
        <f aca="false">IF($A351="","",IF($E351="APPROVATO",1,IF($E351="In svolgimento",IF($F351="",0,$F351),0)))</f>
        <v/>
      </c>
      <c r="N351" s="10" t="str">
        <f aca="false">IF(OR($A351="",$I351="NON MAPPATO",$I351=""),"",$L351*$M351)</f>
        <v/>
      </c>
    </row>
    <row r="352" customFormat="false" ht="15" hidden="false" customHeight="false" outlineLevel="0" collapsed="false">
      <c r="A352" s="6"/>
      <c r="B352" s="7"/>
      <c r="C352" s="6"/>
      <c r="D352" s="6"/>
      <c r="E352" s="6"/>
      <c r="F352" s="8"/>
      <c r="G352" s="9"/>
      <c r="H352" s="7"/>
      <c r="I352" s="6" t="str">
        <f aca="false">IF($A352="","",IFERROR(VLOOKUP($A352,Transcodifica!$A$5:$J$400,5,FALSE()),"NON MAPPATO"))</f>
        <v/>
      </c>
      <c r="J352" s="6" t="str">
        <f aca="false">IF($A352="","",IFERROR(VLOOKUP($A352,Transcodifica!$A$5:$J$400,7,FALSE()),""))</f>
        <v/>
      </c>
      <c r="K352" s="6" t="str">
        <f aca="false">IF($A352="","",IFERROR(VLOOKUP($A352,Transcodifica!$A$5:$J$400,8,FALSE()),""))</f>
        <v/>
      </c>
      <c r="L352" s="6" t="str">
        <f aca="false">IF($A352="","",IFERROR(VLOOKUP($A352,Transcodifica!$A$5:$J$400,9,FALSE()),""))</f>
        <v/>
      </c>
      <c r="M352" s="8" t="str">
        <f aca="false">IF($A352="","",IF($E352="APPROVATO",1,IF($E352="In svolgimento",IF($F352="",0,$F352),0)))</f>
        <v/>
      </c>
      <c r="N352" s="10" t="str">
        <f aca="false">IF(OR($A352="",$I352="NON MAPPATO",$I352=""),"",$L352*$M352)</f>
        <v/>
      </c>
    </row>
    <row r="353" customFormat="false" ht="15" hidden="false" customHeight="false" outlineLevel="0" collapsed="false">
      <c r="A353" s="6"/>
      <c r="B353" s="7"/>
      <c r="C353" s="6"/>
      <c r="D353" s="6"/>
      <c r="E353" s="6"/>
      <c r="F353" s="8"/>
      <c r="G353" s="9"/>
      <c r="H353" s="7"/>
      <c r="I353" s="6" t="str">
        <f aca="false">IF($A353="","",IFERROR(VLOOKUP($A353,Transcodifica!$A$5:$J$400,5,FALSE()),"NON MAPPATO"))</f>
        <v/>
      </c>
      <c r="J353" s="6" t="str">
        <f aca="false">IF($A353="","",IFERROR(VLOOKUP($A353,Transcodifica!$A$5:$J$400,7,FALSE()),""))</f>
        <v/>
      </c>
      <c r="K353" s="6" t="str">
        <f aca="false">IF($A353="","",IFERROR(VLOOKUP($A353,Transcodifica!$A$5:$J$400,8,FALSE()),""))</f>
        <v/>
      </c>
      <c r="L353" s="6" t="str">
        <f aca="false">IF($A353="","",IFERROR(VLOOKUP($A353,Transcodifica!$A$5:$J$400,9,FALSE()),""))</f>
        <v/>
      </c>
      <c r="M353" s="8" t="str">
        <f aca="false">IF($A353="","",IF($E353="APPROVATO",1,IF($E353="In svolgimento",IF($F353="",0,$F353),0)))</f>
        <v/>
      </c>
      <c r="N353" s="10" t="str">
        <f aca="false">IF(OR($A353="",$I353="NON MAPPATO",$I353=""),"",$L353*$M353)</f>
        <v/>
      </c>
    </row>
    <row r="354" customFormat="false" ht="15" hidden="false" customHeight="false" outlineLevel="0" collapsed="false">
      <c r="A354" s="6"/>
      <c r="B354" s="7"/>
      <c r="C354" s="6"/>
      <c r="D354" s="6"/>
      <c r="E354" s="6"/>
      <c r="F354" s="8"/>
      <c r="G354" s="9"/>
      <c r="H354" s="7"/>
      <c r="I354" s="6" t="str">
        <f aca="false">IF($A354="","",IFERROR(VLOOKUP($A354,Transcodifica!$A$5:$J$400,5,FALSE()),"NON MAPPATO"))</f>
        <v/>
      </c>
      <c r="J354" s="6" t="str">
        <f aca="false">IF($A354="","",IFERROR(VLOOKUP($A354,Transcodifica!$A$5:$J$400,7,FALSE()),""))</f>
        <v/>
      </c>
      <c r="K354" s="6" t="str">
        <f aca="false">IF($A354="","",IFERROR(VLOOKUP($A354,Transcodifica!$A$5:$J$400,8,FALSE()),""))</f>
        <v/>
      </c>
      <c r="L354" s="6" t="str">
        <f aca="false">IF($A354="","",IFERROR(VLOOKUP($A354,Transcodifica!$A$5:$J$400,9,FALSE()),""))</f>
        <v/>
      </c>
      <c r="M354" s="8" t="str">
        <f aca="false">IF($A354="","",IF($E354="APPROVATO",1,IF($E354="In svolgimento",IF($F354="",0,$F354),0)))</f>
        <v/>
      </c>
      <c r="N354" s="10" t="str">
        <f aca="false">IF(OR($A354="",$I354="NON MAPPATO",$I354=""),"",$L354*$M354)</f>
        <v/>
      </c>
    </row>
    <row r="355" customFormat="false" ht="15" hidden="false" customHeight="false" outlineLevel="0" collapsed="false">
      <c r="A355" s="6"/>
      <c r="B355" s="7"/>
      <c r="C355" s="6"/>
      <c r="D355" s="6"/>
      <c r="E355" s="6"/>
      <c r="F355" s="8"/>
      <c r="G355" s="9"/>
      <c r="H355" s="7"/>
      <c r="I355" s="6" t="str">
        <f aca="false">IF($A355="","",IFERROR(VLOOKUP($A355,Transcodifica!$A$5:$J$400,5,FALSE()),"NON MAPPATO"))</f>
        <v/>
      </c>
      <c r="J355" s="6" t="str">
        <f aca="false">IF($A355="","",IFERROR(VLOOKUP($A355,Transcodifica!$A$5:$J$400,7,FALSE()),""))</f>
        <v/>
      </c>
      <c r="K355" s="6" t="str">
        <f aca="false">IF($A355="","",IFERROR(VLOOKUP($A355,Transcodifica!$A$5:$J$400,8,FALSE()),""))</f>
        <v/>
      </c>
      <c r="L355" s="6" t="str">
        <f aca="false">IF($A355="","",IFERROR(VLOOKUP($A355,Transcodifica!$A$5:$J$400,9,FALSE()),""))</f>
        <v/>
      </c>
      <c r="M355" s="8" t="str">
        <f aca="false">IF($A355="","",IF($E355="APPROVATO",1,IF($E355="In svolgimento",IF($F355="",0,$F355),0)))</f>
        <v/>
      </c>
      <c r="N355" s="10" t="str">
        <f aca="false">IF(OR($A355="",$I355="NON MAPPATO",$I355=""),"",$L355*$M355)</f>
        <v/>
      </c>
    </row>
    <row r="356" customFormat="false" ht="15" hidden="false" customHeight="false" outlineLevel="0" collapsed="false">
      <c r="A356" s="6"/>
      <c r="B356" s="7"/>
      <c r="C356" s="6"/>
      <c r="D356" s="6"/>
      <c r="E356" s="6"/>
      <c r="F356" s="8"/>
      <c r="G356" s="9"/>
      <c r="H356" s="7"/>
      <c r="I356" s="6" t="str">
        <f aca="false">IF($A356="","",IFERROR(VLOOKUP($A356,Transcodifica!$A$5:$J$400,5,FALSE()),"NON MAPPATO"))</f>
        <v/>
      </c>
      <c r="J356" s="6" t="str">
        <f aca="false">IF($A356="","",IFERROR(VLOOKUP($A356,Transcodifica!$A$5:$J$400,7,FALSE()),""))</f>
        <v/>
      </c>
      <c r="K356" s="6" t="str">
        <f aca="false">IF($A356="","",IFERROR(VLOOKUP($A356,Transcodifica!$A$5:$J$400,8,FALSE()),""))</f>
        <v/>
      </c>
      <c r="L356" s="6" t="str">
        <f aca="false">IF($A356="","",IFERROR(VLOOKUP($A356,Transcodifica!$A$5:$J$400,9,FALSE()),""))</f>
        <v/>
      </c>
      <c r="M356" s="8" t="str">
        <f aca="false">IF($A356="","",IF($E356="APPROVATO",1,IF($E356="In svolgimento",IF($F356="",0,$F356),0)))</f>
        <v/>
      </c>
      <c r="N356" s="10" t="str">
        <f aca="false">IF(OR($A356="",$I356="NON MAPPATO",$I356=""),"",$L356*$M356)</f>
        <v/>
      </c>
    </row>
    <row r="357" customFormat="false" ht="15" hidden="false" customHeight="false" outlineLevel="0" collapsed="false">
      <c r="A357" s="6"/>
      <c r="B357" s="7"/>
      <c r="C357" s="6"/>
      <c r="D357" s="6"/>
      <c r="E357" s="6"/>
      <c r="F357" s="8"/>
      <c r="G357" s="9"/>
      <c r="H357" s="7"/>
      <c r="I357" s="6" t="str">
        <f aca="false">IF($A357="","",IFERROR(VLOOKUP($A357,Transcodifica!$A$5:$J$400,5,FALSE()),"NON MAPPATO"))</f>
        <v/>
      </c>
      <c r="J357" s="6" t="str">
        <f aca="false">IF($A357="","",IFERROR(VLOOKUP($A357,Transcodifica!$A$5:$J$400,7,FALSE()),""))</f>
        <v/>
      </c>
      <c r="K357" s="6" t="str">
        <f aca="false">IF($A357="","",IFERROR(VLOOKUP($A357,Transcodifica!$A$5:$J$400,8,FALSE()),""))</f>
        <v/>
      </c>
      <c r="L357" s="6" t="str">
        <f aca="false">IF($A357="","",IFERROR(VLOOKUP($A357,Transcodifica!$A$5:$J$400,9,FALSE()),""))</f>
        <v/>
      </c>
      <c r="M357" s="8" t="str">
        <f aca="false">IF($A357="","",IF($E357="APPROVATO",1,IF($E357="In svolgimento",IF($F357="",0,$F357),0)))</f>
        <v/>
      </c>
      <c r="N357" s="10" t="str">
        <f aca="false">IF(OR($A357="",$I357="NON MAPPATO",$I357=""),"",$L357*$M357)</f>
        <v/>
      </c>
    </row>
    <row r="358" customFormat="false" ht="15" hidden="false" customHeight="false" outlineLevel="0" collapsed="false">
      <c r="A358" s="6"/>
      <c r="B358" s="7"/>
      <c r="C358" s="6"/>
      <c r="D358" s="6"/>
      <c r="E358" s="6"/>
      <c r="F358" s="8"/>
      <c r="G358" s="9"/>
      <c r="H358" s="7"/>
      <c r="I358" s="6" t="str">
        <f aca="false">IF($A358="","",IFERROR(VLOOKUP($A358,Transcodifica!$A$5:$J$400,5,FALSE()),"NON MAPPATO"))</f>
        <v/>
      </c>
      <c r="J358" s="6" t="str">
        <f aca="false">IF($A358="","",IFERROR(VLOOKUP($A358,Transcodifica!$A$5:$J$400,7,FALSE()),""))</f>
        <v/>
      </c>
      <c r="K358" s="6" t="str">
        <f aca="false">IF($A358="","",IFERROR(VLOOKUP($A358,Transcodifica!$A$5:$J$400,8,FALSE()),""))</f>
        <v/>
      </c>
      <c r="L358" s="6" t="str">
        <f aca="false">IF($A358="","",IFERROR(VLOOKUP($A358,Transcodifica!$A$5:$J$400,9,FALSE()),""))</f>
        <v/>
      </c>
      <c r="M358" s="8" t="str">
        <f aca="false">IF($A358="","",IF($E358="APPROVATO",1,IF($E358="In svolgimento",IF($F358="",0,$F358),0)))</f>
        <v/>
      </c>
      <c r="N358" s="10" t="str">
        <f aca="false">IF(OR($A358="",$I358="NON MAPPATO",$I358=""),"",$L358*$M358)</f>
        <v/>
      </c>
    </row>
    <row r="359" customFormat="false" ht="15" hidden="false" customHeight="false" outlineLevel="0" collapsed="false">
      <c r="A359" s="6"/>
      <c r="B359" s="7"/>
      <c r="C359" s="6"/>
      <c r="D359" s="6"/>
      <c r="E359" s="6"/>
      <c r="F359" s="8"/>
      <c r="G359" s="9"/>
      <c r="H359" s="7"/>
      <c r="I359" s="6" t="str">
        <f aca="false">IF($A359="","",IFERROR(VLOOKUP($A359,Transcodifica!$A$5:$J$400,5,FALSE()),"NON MAPPATO"))</f>
        <v/>
      </c>
      <c r="J359" s="6" t="str">
        <f aca="false">IF($A359="","",IFERROR(VLOOKUP($A359,Transcodifica!$A$5:$J$400,7,FALSE()),""))</f>
        <v/>
      </c>
      <c r="K359" s="6" t="str">
        <f aca="false">IF($A359="","",IFERROR(VLOOKUP($A359,Transcodifica!$A$5:$J$400,8,FALSE()),""))</f>
        <v/>
      </c>
      <c r="L359" s="6" t="str">
        <f aca="false">IF($A359="","",IFERROR(VLOOKUP($A359,Transcodifica!$A$5:$J$400,9,FALSE()),""))</f>
        <v/>
      </c>
      <c r="M359" s="8" t="str">
        <f aca="false">IF($A359="","",IF($E359="APPROVATO",1,IF($E359="In svolgimento",IF($F359="",0,$F359),0)))</f>
        <v/>
      </c>
      <c r="N359" s="10" t="str">
        <f aca="false">IF(OR($A359="",$I359="NON MAPPATO",$I359=""),"",$L359*$M359)</f>
        <v/>
      </c>
    </row>
    <row r="360" customFormat="false" ht="15" hidden="false" customHeight="false" outlineLevel="0" collapsed="false">
      <c r="A360" s="6"/>
      <c r="B360" s="7"/>
      <c r="C360" s="6"/>
      <c r="D360" s="6"/>
      <c r="E360" s="6"/>
      <c r="F360" s="8"/>
      <c r="G360" s="9"/>
      <c r="H360" s="7"/>
      <c r="I360" s="6" t="str">
        <f aca="false">IF($A360="","",IFERROR(VLOOKUP($A360,Transcodifica!$A$5:$J$400,5,FALSE()),"NON MAPPATO"))</f>
        <v/>
      </c>
      <c r="J360" s="6" t="str">
        <f aca="false">IF($A360="","",IFERROR(VLOOKUP($A360,Transcodifica!$A$5:$J$400,7,FALSE()),""))</f>
        <v/>
      </c>
      <c r="K360" s="6" t="str">
        <f aca="false">IF($A360="","",IFERROR(VLOOKUP($A360,Transcodifica!$A$5:$J$400,8,FALSE()),""))</f>
        <v/>
      </c>
      <c r="L360" s="6" t="str">
        <f aca="false">IF($A360="","",IFERROR(VLOOKUP($A360,Transcodifica!$A$5:$J$400,9,FALSE()),""))</f>
        <v/>
      </c>
      <c r="M360" s="8" t="str">
        <f aca="false">IF($A360="","",IF($E360="APPROVATO",1,IF($E360="In svolgimento",IF($F360="",0,$F360),0)))</f>
        <v/>
      </c>
      <c r="N360" s="10" t="str">
        <f aca="false">IF(OR($A360="",$I360="NON MAPPATO",$I360=""),"",$L360*$M360)</f>
        <v/>
      </c>
    </row>
    <row r="361" customFormat="false" ht="15" hidden="false" customHeight="false" outlineLevel="0" collapsed="false">
      <c r="A361" s="6"/>
      <c r="B361" s="7"/>
      <c r="C361" s="6"/>
      <c r="D361" s="6"/>
      <c r="E361" s="6"/>
      <c r="F361" s="8"/>
      <c r="G361" s="9"/>
      <c r="H361" s="7"/>
      <c r="I361" s="6" t="str">
        <f aca="false">IF($A361="","",IFERROR(VLOOKUP($A361,Transcodifica!$A$5:$J$400,5,FALSE()),"NON MAPPATO"))</f>
        <v/>
      </c>
      <c r="J361" s="6" t="str">
        <f aca="false">IF($A361="","",IFERROR(VLOOKUP($A361,Transcodifica!$A$5:$J$400,7,FALSE()),""))</f>
        <v/>
      </c>
      <c r="K361" s="6" t="str">
        <f aca="false">IF($A361="","",IFERROR(VLOOKUP($A361,Transcodifica!$A$5:$J$400,8,FALSE()),""))</f>
        <v/>
      </c>
      <c r="L361" s="6" t="str">
        <f aca="false">IF($A361="","",IFERROR(VLOOKUP($A361,Transcodifica!$A$5:$J$400,9,FALSE()),""))</f>
        <v/>
      </c>
      <c r="M361" s="8" t="str">
        <f aca="false">IF($A361="","",IF($E361="APPROVATO",1,IF($E361="In svolgimento",IF($F361="",0,$F361),0)))</f>
        <v/>
      </c>
      <c r="N361" s="10" t="str">
        <f aca="false">IF(OR($A361="",$I361="NON MAPPATO",$I361=""),"",$L361*$M361)</f>
        <v/>
      </c>
    </row>
    <row r="362" customFormat="false" ht="15" hidden="false" customHeight="false" outlineLevel="0" collapsed="false">
      <c r="A362" s="6"/>
      <c r="B362" s="7"/>
      <c r="C362" s="6"/>
      <c r="D362" s="6"/>
      <c r="E362" s="6"/>
      <c r="F362" s="8"/>
      <c r="G362" s="9"/>
      <c r="H362" s="7"/>
      <c r="I362" s="6" t="str">
        <f aca="false">IF($A362="","",IFERROR(VLOOKUP($A362,Transcodifica!$A$5:$J$400,5,FALSE()),"NON MAPPATO"))</f>
        <v/>
      </c>
      <c r="J362" s="6" t="str">
        <f aca="false">IF($A362="","",IFERROR(VLOOKUP($A362,Transcodifica!$A$5:$J$400,7,FALSE()),""))</f>
        <v/>
      </c>
      <c r="K362" s="6" t="str">
        <f aca="false">IF($A362="","",IFERROR(VLOOKUP($A362,Transcodifica!$A$5:$J$400,8,FALSE()),""))</f>
        <v/>
      </c>
      <c r="L362" s="6" t="str">
        <f aca="false">IF($A362="","",IFERROR(VLOOKUP($A362,Transcodifica!$A$5:$J$400,9,FALSE()),""))</f>
        <v/>
      </c>
      <c r="M362" s="8" t="str">
        <f aca="false">IF($A362="","",IF($E362="APPROVATO",1,IF($E362="In svolgimento",IF($F362="",0,$F362),0)))</f>
        <v/>
      </c>
      <c r="N362" s="10" t="str">
        <f aca="false">IF(OR($A362="",$I362="NON MAPPATO",$I362=""),"",$L362*$M362)</f>
        <v/>
      </c>
    </row>
    <row r="363" customFormat="false" ht="15" hidden="false" customHeight="false" outlineLevel="0" collapsed="false">
      <c r="A363" s="6"/>
      <c r="B363" s="7"/>
      <c r="C363" s="6"/>
      <c r="D363" s="6"/>
      <c r="E363" s="6"/>
      <c r="F363" s="8"/>
      <c r="G363" s="9"/>
      <c r="H363" s="7"/>
      <c r="I363" s="6" t="str">
        <f aca="false">IF($A363="","",IFERROR(VLOOKUP($A363,Transcodifica!$A$5:$J$400,5,FALSE()),"NON MAPPATO"))</f>
        <v/>
      </c>
      <c r="J363" s="6" t="str">
        <f aca="false">IF($A363="","",IFERROR(VLOOKUP($A363,Transcodifica!$A$5:$J$400,7,FALSE()),""))</f>
        <v/>
      </c>
      <c r="K363" s="6" t="str">
        <f aca="false">IF($A363="","",IFERROR(VLOOKUP($A363,Transcodifica!$A$5:$J$400,8,FALSE()),""))</f>
        <v/>
      </c>
      <c r="L363" s="6" t="str">
        <f aca="false">IF($A363="","",IFERROR(VLOOKUP($A363,Transcodifica!$A$5:$J$400,9,FALSE()),""))</f>
        <v/>
      </c>
      <c r="M363" s="8" t="str">
        <f aca="false">IF($A363="","",IF($E363="APPROVATO",1,IF($E363="In svolgimento",IF($F363="",0,$F363),0)))</f>
        <v/>
      </c>
      <c r="N363" s="10" t="str">
        <f aca="false">IF(OR($A363="",$I363="NON MAPPATO",$I363=""),"",$L363*$M363)</f>
        <v/>
      </c>
    </row>
    <row r="364" customFormat="false" ht="15" hidden="false" customHeight="false" outlineLevel="0" collapsed="false">
      <c r="A364" s="6"/>
      <c r="B364" s="7"/>
      <c r="C364" s="6"/>
      <c r="D364" s="6"/>
      <c r="E364" s="6"/>
      <c r="F364" s="8"/>
      <c r="G364" s="9"/>
      <c r="H364" s="7"/>
      <c r="I364" s="6" t="str">
        <f aca="false">IF($A364="","",IFERROR(VLOOKUP($A364,Transcodifica!$A$5:$J$400,5,FALSE()),"NON MAPPATO"))</f>
        <v/>
      </c>
      <c r="J364" s="6" t="str">
        <f aca="false">IF($A364="","",IFERROR(VLOOKUP($A364,Transcodifica!$A$5:$J$400,7,FALSE()),""))</f>
        <v/>
      </c>
      <c r="K364" s="6" t="str">
        <f aca="false">IF($A364="","",IFERROR(VLOOKUP($A364,Transcodifica!$A$5:$J$400,8,FALSE()),""))</f>
        <v/>
      </c>
      <c r="L364" s="6" t="str">
        <f aca="false">IF($A364="","",IFERROR(VLOOKUP($A364,Transcodifica!$A$5:$J$400,9,FALSE()),""))</f>
        <v/>
      </c>
      <c r="M364" s="8" t="str">
        <f aca="false">IF($A364="","",IF($E364="APPROVATO",1,IF($E364="In svolgimento",IF($F364="",0,$F364),0)))</f>
        <v/>
      </c>
      <c r="N364" s="10" t="str">
        <f aca="false">IF(OR($A364="",$I364="NON MAPPATO",$I364=""),"",$L364*$M364)</f>
        <v/>
      </c>
    </row>
    <row r="365" customFormat="false" ht="15" hidden="false" customHeight="false" outlineLevel="0" collapsed="false">
      <c r="A365" s="6"/>
      <c r="B365" s="7"/>
      <c r="C365" s="6"/>
      <c r="D365" s="6"/>
      <c r="E365" s="6"/>
      <c r="F365" s="8"/>
      <c r="G365" s="9"/>
      <c r="H365" s="7"/>
      <c r="I365" s="6" t="str">
        <f aca="false">IF($A365="","",IFERROR(VLOOKUP($A365,Transcodifica!$A$5:$J$400,5,FALSE()),"NON MAPPATO"))</f>
        <v/>
      </c>
      <c r="J365" s="6" t="str">
        <f aca="false">IF($A365="","",IFERROR(VLOOKUP($A365,Transcodifica!$A$5:$J$400,7,FALSE()),""))</f>
        <v/>
      </c>
      <c r="K365" s="6" t="str">
        <f aca="false">IF($A365="","",IFERROR(VLOOKUP($A365,Transcodifica!$A$5:$J$400,8,FALSE()),""))</f>
        <v/>
      </c>
      <c r="L365" s="6" t="str">
        <f aca="false">IF($A365="","",IFERROR(VLOOKUP($A365,Transcodifica!$A$5:$J$400,9,FALSE()),""))</f>
        <v/>
      </c>
      <c r="M365" s="8" t="str">
        <f aca="false">IF($A365="","",IF($E365="APPROVATO",1,IF($E365="In svolgimento",IF($F365="",0,$F365),0)))</f>
        <v/>
      </c>
      <c r="N365" s="10" t="str">
        <f aca="false">IF(OR($A365="",$I365="NON MAPPATO",$I365=""),"",$L365*$M365)</f>
        <v/>
      </c>
    </row>
    <row r="366" customFormat="false" ht="15" hidden="false" customHeight="false" outlineLevel="0" collapsed="false">
      <c r="A366" s="6"/>
      <c r="B366" s="7"/>
      <c r="C366" s="6"/>
      <c r="D366" s="6"/>
      <c r="E366" s="6"/>
      <c r="F366" s="8"/>
      <c r="G366" s="9"/>
      <c r="H366" s="7"/>
      <c r="I366" s="6" t="str">
        <f aca="false">IF($A366="","",IFERROR(VLOOKUP($A366,Transcodifica!$A$5:$J$400,5,FALSE()),"NON MAPPATO"))</f>
        <v/>
      </c>
      <c r="J366" s="6" t="str">
        <f aca="false">IF($A366="","",IFERROR(VLOOKUP($A366,Transcodifica!$A$5:$J$400,7,FALSE()),""))</f>
        <v/>
      </c>
      <c r="K366" s="6" t="str">
        <f aca="false">IF($A366="","",IFERROR(VLOOKUP($A366,Transcodifica!$A$5:$J$400,8,FALSE()),""))</f>
        <v/>
      </c>
      <c r="L366" s="6" t="str">
        <f aca="false">IF($A366="","",IFERROR(VLOOKUP($A366,Transcodifica!$A$5:$J$400,9,FALSE()),""))</f>
        <v/>
      </c>
      <c r="M366" s="8" t="str">
        <f aca="false">IF($A366="","",IF($E366="APPROVATO",1,IF($E366="In svolgimento",IF($F366="",0,$F366),0)))</f>
        <v/>
      </c>
      <c r="N366" s="10" t="str">
        <f aca="false">IF(OR($A366="",$I366="NON MAPPATO",$I366=""),"",$L366*$M366)</f>
        <v/>
      </c>
    </row>
    <row r="367" customFormat="false" ht="15" hidden="false" customHeight="false" outlineLevel="0" collapsed="false">
      <c r="A367" s="6"/>
      <c r="B367" s="7"/>
      <c r="C367" s="6"/>
      <c r="D367" s="6"/>
      <c r="E367" s="6"/>
      <c r="F367" s="8"/>
      <c r="G367" s="9"/>
      <c r="H367" s="7"/>
      <c r="I367" s="6" t="str">
        <f aca="false">IF($A367="","",IFERROR(VLOOKUP($A367,Transcodifica!$A$5:$J$400,5,FALSE()),"NON MAPPATO"))</f>
        <v/>
      </c>
      <c r="J367" s="6" t="str">
        <f aca="false">IF($A367="","",IFERROR(VLOOKUP($A367,Transcodifica!$A$5:$J$400,7,FALSE()),""))</f>
        <v/>
      </c>
      <c r="K367" s="6" t="str">
        <f aca="false">IF($A367="","",IFERROR(VLOOKUP($A367,Transcodifica!$A$5:$J$400,8,FALSE()),""))</f>
        <v/>
      </c>
      <c r="L367" s="6" t="str">
        <f aca="false">IF($A367="","",IFERROR(VLOOKUP($A367,Transcodifica!$A$5:$J$400,9,FALSE()),""))</f>
        <v/>
      </c>
      <c r="M367" s="8" t="str">
        <f aca="false">IF($A367="","",IF($E367="APPROVATO",1,IF($E367="In svolgimento",IF($F367="",0,$F367),0)))</f>
        <v/>
      </c>
      <c r="N367" s="10" t="str">
        <f aca="false">IF(OR($A367="",$I367="NON MAPPATO",$I367=""),"",$L367*$M367)</f>
        <v/>
      </c>
    </row>
    <row r="368" customFormat="false" ht="15" hidden="false" customHeight="false" outlineLevel="0" collapsed="false">
      <c r="A368" s="6"/>
      <c r="B368" s="7"/>
      <c r="C368" s="6"/>
      <c r="D368" s="6"/>
      <c r="E368" s="6"/>
      <c r="F368" s="8"/>
      <c r="G368" s="9"/>
      <c r="H368" s="7"/>
      <c r="I368" s="6" t="str">
        <f aca="false">IF($A368="","",IFERROR(VLOOKUP($A368,Transcodifica!$A$5:$J$400,5,FALSE()),"NON MAPPATO"))</f>
        <v/>
      </c>
      <c r="J368" s="6" t="str">
        <f aca="false">IF($A368="","",IFERROR(VLOOKUP($A368,Transcodifica!$A$5:$J$400,7,FALSE()),""))</f>
        <v/>
      </c>
      <c r="K368" s="6" t="str">
        <f aca="false">IF($A368="","",IFERROR(VLOOKUP($A368,Transcodifica!$A$5:$J$400,8,FALSE()),""))</f>
        <v/>
      </c>
      <c r="L368" s="6" t="str">
        <f aca="false">IF($A368="","",IFERROR(VLOOKUP($A368,Transcodifica!$A$5:$J$400,9,FALSE()),""))</f>
        <v/>
      </c>
      <c r="M368" s="8" t="str">
        <f aca="false">IF($A368="","",IF($E368="APPROVATO",1,IF($E368="In svolgimento",IF($F368="",0,$F368),0)))</f>
        <v/>
      </c>
      <c r="N368" s="10" t="str">
        <f aca="false">IF(OR($A368="",$I368="NON MAPPATO",$I368=""),"",$L368*$M368)</f>
        <v/>
      </c>
    </row>
    <row r="369" customFormat="false" ht="15" hidden="false" customHeight="false" outlineLevel="0" collapsed="false">
      <c r="A369" s="6"/>
      <c r="B369" s="7"/>
      <c r="C369" s="6"/>
      <c r="D369" s="6"/>
      <c r="E369" s="6"/>
      <c r="F369" s="8"/>
      <c r="G369" s="9"/>
      <c r="H369" s="7"/>
      <c r="I369" s="6" t="str">
        <f aca="false">IF($A369="","",IFERROR(VLOOKUP($A369,Transcodifica!$A$5:$J$400,5,FALSE()),"NON MAPPATO"))</f>
        <v/>
      </c>
      <c r="J369" s="6" t="str">
        <f aca="false">IF($A369="","",IFERROR(VLOOKUP($A369,Transcodifica!$A$5:$J$400,7,FALSE()),""))</f>
        <v/>
      </c>
      <c r="K369" s="6" t="str">
        <f aca="false">IF($A369="","",IFERROR(VLOOKUP($A369,Transcodifica!$A$5:$J$400,8,FALSE()),""))</f>
        <v/>
      </c>
      <c r="L369" s="6" t="str">
        <f aca="false">IF($A369="","",IFERROR(VLOOKUP($A369,Transcodifica!$A$5:$J$400,9,FALSE()),""))</f>
        <v/>
      </c>
      <c r="M369" s="8" t="str">
        <f aca="false">IF($A369="","",IF($E369="APPROVATO",1,IF($E369="In svolgimento",IF($F369="",0,$F369),0)))</f>
        <v/>
      </c>
      <c r="N369" s="10" t="str">
        <f aca="false">IF(OR($A369="",$I369="NON MAPPATO",$I369=""),"",$L369*$M369)</f>
        <v/>
      </c>
    </row>
    <row r="370" customFormat="false" ht="15" hidden="false" customHeight="false" outlineLevel="0" collapsed="false">
      <c r="A370" s="6"/>
      <c r="B370" s="7"/>
      <c r="C370" s="6"/>
      <c r="D370" s="6"/>
      <c r="E370" s="6"/>
      <c r="F370" s="8"/>
      <c r="G370" s="9"/>
      <c r="H370" s="7"/>
      <c r="I370" s="6" t="str">
        <f aca="false">IF($A370="","",IFERROR(VLOOKUP($A370,Transcodifica!$A$5:$J$400,5,FALSE()),"NON MAPPATO"))</f>
        <v/>
      </c>
      <c r="J370" s="6" t="str">
        <f aca="false">IF($A370="","",IFERROR(VLOOKUP($A370,Transcodifica!$A$5:$J$400,7,FALSE()),""))</f>
        <v/>
      </c>
      <c r="K370" s="6" t="str">
        <f aca="false">IF($A370="","",IFERROR(VLOOKUP($A370,Transcodifica!$A$5:$J$400,8,FALSE()),""))</f>
        <v/>
      </c>
      <c r="L370" s="6" t="str">
        <f aca="false">IF($A370="","",IFERROR(VLOOKUP($A370,Transcodifica!$A$5:$J$400,9,FALSE()),""))</f>
        <v/>
      </c>
      <c r="M370" s="8" t="str">
        <f aca="false">IF($A370="","",IF($E370="APPROVATO",1,IF($E370="In svolgimento",IF($F370="",0,$F370),0)))</f>
        <v/>
      </c>
      <c r="N370" s="10" t="str">
        <f aca="false">IF(OR($A370="",$I370="NON MAPPATO",$I370=""),"",$L370*$M370)</f>
        <v/>
      </c>
    </row>
    <row r="371" customFormat="false" ht="15" hidden="false" customHeight="false" outlineLevel="0" collapsed="false">
      <c r="A371" s="6"/>
      <c r="B371" s="7"/>
      <c r="C371" s="6"/>
      <c r="D371" s="6"/>
      <c r="E371" s="6"/>
      <c r="F371" s="8"/>
      <c r="G371" s="9"/>
      <c r="H371" s="7"/>
      <c r="I371" s="6" t="str">
        <f aca="false">IF($A371="","",IFERROR(VLOOKUP($A371,Transcodifica!$A$5:$J$400,5,FALSE()),"NON MAPPATO"))</f>
        <v/>
      </c>
      <c r="J371" s="6" t="str">
        <f aca="false">IF($A371="","",IFERROR(VLOOKUP($A371,Transcodifica!$A$5:$J$400,7,FALSE()),""))</f>
        <v/>
      </c>
      <c r="K371" s="6" t="str">
        <f aca="false">IF($A371="","",IFERROR(VLOOKUP($A371,Transcodifica!$A$5:$J$400,8,FALSE()),""))</f>
        <v/>
      </c>
      <c r="L371" s="6" t="str">
        <f aca="false">IF($A371="","",IFERROR(VLOOKUP($A371,Transcodifica!$A$5:$J$400,9,FALSE()),""))</f>
        <v/>
      </c>
      <c r="M371" s="8" t="str">
        <f aca="false">IF($A371="","",IF($E371="APPROVATO",1,IF($E371="In svolgimento",IF($F371="",0,$F371),0)))</f>
        <v/>
      </c>
      <c r="N371" s="10" t="str">
        <f aca="false">IF(OR($A371="",$I371="NON MAPPATO",$I371=""),"",$L371*$M371)</f>
        <v/>
      </c>
    </row>
    <row r="372" customFormat="false" ht="15" hidden="false" customHeight="false" outlineLevel="0" collapsed="false">
      <c r="A372" s="6"/>
      <c r="B372" s="7"/>
      <c r="C372" s="6"/>
      <c r="D372" s="6"/>
      <c r="E372" s="6"/>
      <c r="F372" s="8"/>
      <c r="G372" s="9"/>
      <c r="H372" s="7"/>
      <c r="I372" s="6" t="str">
        <f aca="false">IF($A372="","",IFERROR(VLOOKUP($A372,Transcodifica!$A$5:$J$400,5,FALSE()),"NON MAPPATO"))</f>
        <v/>
      </c>
      <c r="J372" s="6" t="str">
        <f aca="false">IF($A372="","",IFERROR(VLOOKUP($A372,Transcodifica!$A$5:$J$400,7,FALSE()),""))</f>
        <v/>
      </c>
      <c r="K372" s="6" t="str">
        <f aca="false">IF($A372="","",IFERROR(VLOOKUP($A372,Transcodifica!$A$5:$J$400,8,FALSE()),""))</f>
        <v/>
      </c>
      <c r="L372" s="6" t="str">
        <f aca="false">IF($A372="","",IFERROR(VLOOKUP($A372,Transcodifica!$A$5:$J$400,9,FALSE()),""))</f>
        <v/>
      </c>
      <c r="M372" s="8" t="str">
        <f aca="false">IF($A372="","",IF($E372="APPROVATO",1,IF($E372="In svolgimento",IF($F372="",0,$F372),0)))</f>
        <v/>
      </c>
      <c r="N372" s="10" t="str">
        <f aca="false">IF(OR($A372="",$I372="NON MAPPATO",$I372=""),"",$L372*$M372)</f>
        <v/>
      </c>
    </row>
    <row r="373" customFormat="false" ht="15" hidden="false" customHeight="false" outlineLevel="0" collapsed="false">
      <c r="A373" s="6"/>
      <c r="B373" s="7"/>
      <c r="C373" s="6"/>
      <c r="D373" s="6"/>
      <c r="E373" s="6"/>
      <c r="F373" s="8"/>
      <c r="G373" s="9"/>
      <c r="H373" s="7"/>
      <c r="I373" s="6" t="str">
        <f aca="false">IF($A373="","",IFERROR(VLOOKUP($A373,Transcodifica!$A$5:$J$400,5,FALSE()),"NON MAPPATO"))</f>
        <v/>
      </c>
      <c r="J373" s="6" t="str">
        <f aca="false">IF($A373="","",IFERROR(VLOOKUP($A373,Transcodifica!$A$5:$J$400,7,FALSE()),""))</f>
        <v/>
      </c>
      <c r="K373" s="6" t="str">
        <f aca="false">IF($A373="","",IFERROR(VLOOKUP($A373,Transcodifica!$A$5:$J$400,8,FALSE()),""))</f>
        <v/>
      </c>
      <c r="L373" s="6" t="str">
        <f aca="false">IF($A373="","",IFERROR(VLOOKUP($A373,Transcodifica!$A$5:$J$400,9,FALSE()),""))</f>
        <v/>
      </c>
      <c r="M373" s="8" t="str">
        <f aca="false">IF($A373="","",IF($E373="APPROVATO",1,IF($E373="In svolgimento",IF($F373="",0,$F373),0)))</f>
        <v/>
      </c>
      <c r="N373" s="10" t="str">
        <f aca="false">IF(OR($A373="",$I373="NON MAPPATO",$I373=""),"",$L373*$M373)</f>
        <v/>
      </c>
    </row>
    <row r="374" customFormat="false" ht="15" hidden="false" customHeight="false" outlineLevel="0" collapsed="false">
      <c r="A374" s="6"/>
      <c r="B374" s="7"/>
      <c r="C374" s="6"/>
      <c r="D374" s="6"/>
      <c r="E374" s="6"/>
      <c r="F374" s="8"/>
      <c r="G374" s="9"/>
      <c r="H374" s="7"/>
      <c r="I374" s="6" t="str">
        <f aca="false">IF($A374="","",IFERROR(VLOOKUP($A374,Transcodifica!$A$5:$J$400,5,FALSE()),"NON MAPPATO"))</f>
        <v/>
      </c>
      <c r="J374" s="6" t="str">
        <f aca="false">IF($A374="","",IFERROR(VLOOKUP($A374,Transcodifica!$A$5:$J$400,7,FALSE()),""))</f>
        <v/>
      </c>
      <c r="K374" s="6" t="str">
        <f aca="false">IF($A374="","",IFERROR(VLOOKUP($A374,Transcodifica!$A$5:$J$400,8,FALSE()),""))</f>
        <v/>
      </c>
      <c r="L374" s="6" t="str">
        <f aca="false">IF($A374="","",IFERROR(VLOOKUP($A374,Transcodifica!$A$5:$J$400,9,FALSE()),""))</f>
        <v/>
      </c>
      <c r="M374" s="8" t="str">
        <f aca="false">IF($A374="","",IF($E374="APPROVATO",1,IF($E374="In svolgimento",IF($F374="",0,$F374),0)))</f>
        <v/>
      </c>
      <c r="N374" s="10" t="str">
        <f aca="false">IF(OR($A374="",$I374="NON MAPPATO",$I374=""),"",$L374*$M374)</f>
        <v/>
      </c>
    </row>
    <row r="375" customFormat="false" ht="15" hidden="false" customHeight="false" outlineLevel="0" collapsed="false">
      <c r="A375" s="6"/>
      <c r="B375" s="7"/>
      <c r="C375" s="6"/>
      <c r="D375" s="6"/>
      <c r="E375" s="6"/>
      <c r="F375" s="8"/>
      <c r="G375" s="9"/>
      <c r="H375" s="7"/>
      <c r="I375" s="6" t="str">
        <f aca="false">IF($A375="","",IFERROR(VLOOKUP($A375,Transcodifica!$A$5:$J$400,5,FALSE()),"NON MAPPATO"))</f>
        <v/>
      </c>
      <c r="J375" s="6" t="str">
        <f aca="false">IF($A375="","",IFERROR(VLOOKUP($A375,Transcodifica!$A$5:$J$400,7,FALSE()),""))</f>
        <v/>
      </c>
      <c r="K375" s="6" t="str">
        <f aca="false">IF($A375="","",IFERROR(VLOOKUP($A375,Transcodifica!$A$5:$J$400,8,FALSE()),""))</f>
        <v/>
      </c>
      <c r="L375" s="6" t="str">
        <f aca="false">IF($A375="","",IFERROR(VLOOKUP($A375,Transcodifica!$A$5:$J$400,9,FALSE()),""))</f>
        <v/>
      </c>
      <c r="M375" s="8" t="str">
        <f aca="false">IF($A375="","",IF($E375="APPROVATO",1,IF($E375="In svolgimento",IF($F375="",0,$F375),0)))</f>
        <v/>
      </c>
      <c r="N375" s="10" t="str">
        <f aca="false">IF(OR($A375="",$I375="NON MAPPATO",$I375=""),"",$L375*$M375)</f>
        <v/>
      </c>
    </row>
    <row r="376" customFormat="false" ht="15" hidden="false" customHeight="false" outlineLevel="0" collapsed="false">
      <c r="A376" s="6"/>
      <c r="B376" s="7"/>
      <c r="C376" s="6"/>
      <c r="D376" s="6"/>
      <c r="E376" s="6"/>
      <c r="F376" s="8"/>
      <c r="G376" s="9"/>
      <c r="H376" s="7"/>
      <c r="I376" s="6" t="str">
        <f aca="false">IF($A376="","",IFERROR(VLOOKUP($A376,Transcodifica!$A$5:$J$400,5,FALSE()),"NON MAPPATO"))</f>
        <v/>
      </c>
      <c r="J376" s="6" t="str">
        <f aca="false">IF($A376="","",IFERROR(VLOOKUP($A376,Transcodifica!$A$5:$J$400,7,FALSE()),""))</f>
        <v/>
      </c>
      <c r="K376" s="6" t="str">
        <f aca="false">IF($A376="","",IFERROR(VLOOKUP($A376,Transcodifica!$A$5:$J$400,8,FALSE()),""))</f>
        <v/>
      </c>
      <c r="L376" s="6" t="str">
        <f aca="false">IF($A376="","",IFERROR(VLOOKUP($A376,Transcodifica!$A$5:$J$400,9,FALSE()),""))</f>
        <v/>
      </c>
      <c r="M376" s="8" t="str">
        <f aca="false">IF($A376="","",IF($E376="APPROVATO",1,IF($E376="In svolgimento",IF($F376="",0,$F376),0)))</f>
        <v/>
      </c>
      <c r="N376" s="10" t="str">
        <f aca="false">IF(OR($A376="",$I376="NON MAPPATO",$I376=""),"",$L376*$M376)</f>
        <v/>
      </c>
    </row>
    <row r="377" customFormat="false" ht="15" hidden="false" customHeight="false" outlineLevel="0" collapsed="false">
      <c r="A377" s="6"/>
      <c r="B377" s="7"/>
      <c r="C377" s="6"/>
      <c r="D377" s="6"/>
      <c r="E377" s="6"/>
      <c r="F377" s="8"/>
      <c r="G377" s="9"/>
      <c r="H377" s="7"/>
      <c r="I377" s="6" t="str">
        <f aca="false">IF($A377="","",IFERROR(VLOOKUP($A377,Transcodifica!$A$5:$J$400,5,FALSE()),"NON MAPPATO"))</f>
        <v/>
      </c>
      <c r="J377" s="6" t="str">
        <f aca="false">IF($A377="","",IFERROR(VLOOKUP($A377,Transcodifica!$A$5:$J$400,7,FALSE()),""))</f>
        <v/>
      </c>
      <c r="K377" s="6" t="str">
        <f aca="false">IF($A377="","",IFERROR(VLOOKUP($A377,Transcodifica!$A$5:$J$400,8,FALSE()),""))</f>
        <v/>
      </c>
      <c r="L377" s="6" t="str">
        <f aca="false">IF($A377="","",IFERROR(VLOOKUP($A377,Transcodifica!$A$5:$J$400,9,FALSE()),""))</f>
        <v/>
      </c>
      <c r="M377" s="8" t="str">
        <f aca="false">IF($A377="","",IF($E377="APPROVATO",1,IF($E377="In svolgimento",IF($F377="",0,$F377),0)))</f>
        <v/>
      </c>
      <c r="N377" s="10" t="str">
        <f aca="false">IF(OR($A377="",$I377="NON MAPPATO",$I377=""),"",$L377*$M377)</f>
        <v/>
      </c>
    </row>
    <row r="378" customFormat="false" ht="15" hidden="false" customHeight="false" outlineLevel="0" collapsed="false">
      <c r="A378" s="6"/>
      <c r="B378" s="7"/>
      <c r="C378" s="6"/>
      <c r="D378" s="6"/>
      <c r="E378" s="6"/>
      <c r="F378" s="8"/>
      <c r="G378" s="9"/>
      <c r="H378" s="7"/>
      <c r="I378" s="6" t="str">
        <f aca="false">IF($A378="","",IFERROR(VLOOKUP($A378,Transcodifica!$A$5:$J$400,5,FALSE()),"NON MAPPATO"))</f>
        <v/>
      </c>
      <c r="J378" s="6" t="str">
        <f aca="false">IF($A378="","",IFERROR(VLOOKUP($A378,Transcodifica!$A$5:$J$400,7,FALSE()),""))</f>
        <v/>
      </c>
      <c r="K378" s="6" t="str">
        <f aca="false">IF($A378="","",IFERROR(VLOOKUP($A378,Transcodifica!$A$5:$J$400,8,FALSE()),""))</f>
        <v/>
      </c>
      <c r="L378" s="6" t="str">
        <f aca="false">IF($A378="","",IFERROR(VLOOKUP($A378,Transcodifica!$A$5:$J$400,9,FALSE()),""))</f>
        <v/>
      </c>
      <c r="M378" s="8" t="str">
        <f aca="false">IF($A378="","",IF($E378="APPROVATO",1,IF($E378="In svolgimento",IF($F378="",0,$F378),0)))</f>
        <v/>
      </c>
      <c r="N378" s="10" t="str">
        <f aca="false">IF(OR($A378="",$I378="NON MAPPATO",$I378=""),"",$L378*$M378)</f>
        <v/>
      </c>
    </row>
    <row r="379" customFormat="false" ht="15" hidden="false" customHeight="false" outlineLevel="0" collapsed="false">
      <c r="A379" s="6"/>
      <c r="B379" s="7"/>
      <c r="C379" s="6"/>
      <c r="D379" s="6"/>
      <c r="E379" s="6"/>
      <c r="F379" s="8"/>
      <c r="G379" s="9"/>
      <c r="H379" s="7"/>
      <c r="I379" s="6" t="str">
        <f aca="false">IF($A379="","",IFERROR(VLOOKUP($A379,Transcodifica!$A$5:$J$400,5,FALSE()),"NON MAPPATO"))</f>
        <v/>
      </c>
      <c r="J379" s="6" t="str">
        <f aca="false">IF($A379="","",IFERROR(VLOOKUP($A379,Transcodifica!$A$5:$J$400,7,FALSE()),""))</f>
        <v/>
      </c>
      <c r="K379" s="6" t="str">
        <f aca="false">IF($A379="","",IFERROR(VLOOKUP($A379,Transcodifica!$A$5:$J$400,8,FALSE()),""))</f>
        <v/>
      </c>
      <c r="L379" s="6" t="str">
        <f aca="false">IF($A379="","",IFERROR(VLOOKUP($A379,Transcodifica!$A$5:$J$400,9,FALSE()),""))</f>
        <v/>
      </c>
      <c r="M379" s="8" t="str">
        <f aca="false">IF($A379="","",IF($E379="APPROVATO",1,IF($E379="In svolgimento",IF($F379="",0,$F379),0)))</f>
        <v/>
      </c>
      <c r="N379" s="10" t="str">
        <f aca="false">IF(OR($A379="",$I379="NON MAPPATO",$I379=""),"",$L379*$M379)</f>
        <v/>
      </c>
    </row>
    <row r="380" customFormat="false" ht="15" hidden="false" customHeight="false" outlineLevel="0" collapsed="false">
      <c r="A380" s="6"/>
      <c r="B380" s="7"/>
      <c r="C380" s="6"/>
      <c r="D380" s="6"/>
      <c r="E380" s="6"/>
      <c r="F380" s="8"/>
      <c r="G380" s="9"/>
      <c r="H380" s="7"/>
      <c r="I380" s="6" t="str">
        <f aca="false">IF($A380="","",IFERROR(VLOOKUP($A380,Transcodifica!$A$5:$J$400,5,FALSE()),"NON MAPPATO"))</f>
        <v/>
      </c>
      <c r="J380" s="6" t="str">
        <f aca="false">IF($A380="","",IFERROR(VLOOKUP($A380,Transcodifica!$A$5:$J$400,7,FALSE()),""))</f>
        <v/>
      </c>
      <c r="K380" s="6" t="str">
        <f aca="false">IF($A380="","",IFERROR(VLOOKUP($A380,Transcodifica!$A$5:$J$400,8,FALSE()),""))</f>
        <v/>
      </c>
      <c r="L380" s="6" t="str">
        <f aca="false">IF($A380="","",IFERROR(VLOOKUP($A380,Transcodifica!$A$5:$J$400,9,FALSE()),""))</f>
        <v/>
      </c>
      <c r="M380" s="8" t="str">
        <f aca="false">IF($A380="","",IF($E380="APPROVATO",1,IF($E380="In svolgimento",IF($F380="",0,$F380),0)))</f>
        <v/>
      </c>
      <c r="N380" s="10" t="str">
        <f aca="false">IF(OR($A380="",$I380="NON MAPPATO",$I380=""),"",$L380*$M380)</f>
        <v/>
      </c>
    </row>
    <row r="381" customFormat="false" ht="15" hidden="false" customHeight="false" outlineLevel="0" collapsed="false">
      <c r="A381" s="6"/>
      <c r="B381" s="7"/>
      <c r="C381" s="6"/>
      <c r="D381" s="6"/>
      <c r="E381" s="6"/>
      <c r="F381" s="8"/>
      <c r="G381" s="9"/>
      <c r="H381" s="7"/>
      <c r="I381" s="6" t="str">
        <f aca="false">IF($A381="","",IFERROR(VLOOKUP($A381,Transcodifica!$A$5:$J$400,5,FALSE()),"NON MAPPATO"))</f>
        <v/>
      </c>
      <c r="J381" s="6" t="str">
        <f aca="false">IF($A381="","",IFERROR(VLOOKUP($A381,Transcodifica!$A$5:$J$400,7,FALSE()),""))</f>
        <v/>
      </c>
      <c r="K381" s="6" t="str">
        <f aca="false">IF($A381="","",IFERROR(VLOOKUP($A381,Transcodifica!$A$5:$J$400,8,FALSE()),""))</f>
        <v/>
      </c>
      <c r="L381" s="6" t="str">
        <f aca="false">IF($A381="","",IFERROR(VLOOKUP($A381,Transcodifica!$A$5:$J$400,9,FALSE()),""))</f>
        <v/>
      </c>
      <c r="M381" s="8" t="str">
        <f aca="false">IF($A381="","",IF($E381="APPROVATO",1,IF($E381="In svolgimento",IF($F381="",0,$F381),0)))</f>
        <v/>
      </c>
      <c r="N381" s="10" t="str">
        <f aca="false">IF(OR($A381="",$I381="NON MAPPATO",$I381=""),"",$L381*$M381)</f>
        <v/>
      </c>
    </row>
    <row r="382" customFormat="false" ht="15" hidden="false" customHeight="false" outlineLevel="0" collapsed="false">
      <c r="A382" s="6"/>
      <c r="B382" s="7"/>
      <c r="C382" s="6"/>
      <c r="D382" s="6"/>
      <c r="E382" s="6"/>
      <c r="F382" s="8"/>
      <c r="G382" s="9"/>
      <c r="H382" s="7"/>
      <c r="I382" s="6" t="str">
        <f aca="false">IF($A382="","",IFERROR(VLOOKUP($A382,Transcodifica!$A$5:$J$400,5,FALSE()),"NON MAPPATO"))</f>
        <v/>
      </c>
      <c r="J382" s="6" t="str">
        <f aca="false">IF($A382="","",IFERROR(VLOOKUP($A382,Transcodifica!$A$5:$J$400,7,FALSE()),""))</f>
        <v/>
      </c>
      <c r="K382" s="6" t="str">
        <f aca="false">IF($A382="","",IFERROR(VLOOKUP($A382,Transcodifica!$A$5:$J$400,8,FALSE()),""))</f>
        <v/>
      </c>
      <c r="L382" s="6" t="str">
        <f aca="false">IF($A382="","",IFERROR(VLOOKUP($A382,Transcodifica!$A$5:$J$400,9,FALSE()),""))</f>
        <v/>
      </c>
      <c r="M382" s="8" t="str">
        <f aca="false">IF($A382="","",IF($E382="APPROVATO",1,IF($E382="In svolgimento",IF($F382="",0,$F382),0)))</f>
        <v/>
      </c>
      <c r="N382" s="10" t="str">
        <f aca="false">IF(OR($A382="",$I382="NON MAPPATO",$I382=""),"",$L382*$M382)</f>
        <v/>
      </c>
    </row>
    <row r="383" customFormat="false" ht="15" hidden="false" customHeight="false" outlineLevel="0" collapsed="false">
      <c r="A383" s="6"/>
      <c r="B383" s="7"/>
      <c r="C383" s="6"/>
      <c r="D383" s="6"/>
      <c r="E383" s="6"/>
      <c r="F383" s="8"/>
      <c r="G383" s="9"/>
      <c r="H383" s="7"/>
      <c r="I383" s="6" t="str">
        <f aca="false">IF($A383="","",IFERROR(VLOOKUP($A383,Transcodifica!$A$5:$J$400,5,FALSE()),"NON MAPPATO"))</f>
        <v/>
      </c>
      <c r="J383" s="6" t="str">
        <f aca="false">IF($A383="","",IFERROR(VLOOKUP($A383,Transcodifica!$A$5:$J$400,7,FALSE()),""))</f>
        <v/>
      </c>
      <c r="K383" s="6" t="str">
        <f aca="false">IF($A383="","",IFERROR(VLOOKUP($A383,Transcodifica!$A$5:$J$400,8,FALSE()),""))</f>
        <v/>
      </c>
      <c r="L383" s="6" t="str">
        <f aca="false">IF($A383="","",IFERROR(VLOOKUP($A383,Transcodifica!$A$5:$J$400,9,FALSE()),""))</f>
        <v/>
      </c>
      <c r="M383" s="8" t="str">
        <f aca="false">IF($A383="","",IF($E383="APPROVATO",1,IF($E383="In svolgimento",IF($F383="",0,$F383),0)))</f>
        <v/>
      </c>
      <c r="N383" s="10" t="str">
        <f aca="false">IF(OR($A383="",$I383="NON MAPPATO",$I383=""),"",$L383*$M383)</f>
        <v/>
      </c>
    </row>
    <row r="384" customFormat="false" ht="15" hidden="false" customHeight="false" outlineLevel="0" collapsed="false">
      <c r="A384" s="6"/>
      <c r="B384" s="7"/>
      <c r="C384" s="6"/>
      <c r="D384" s="6"/>
      <c r="E384" s="6"/>
      <c r="F384" s="8"/>
      <c r="G384" s="9"/>
      <c r="H384" s="7"/>
      <c r="I384" s="6" t="str">
        <f aca="false">IF($A384="","",IFERROR(VLOOKUP($A384,Transcodifica!$A$5:$J$400,5,FALSE()),"NON MAPPATO"))</f>
        <v/>
      </c>
      <c r="J384" s="6" t="str">
        <f aca="false">IF($A384="","",IFERROR(VLOOKUP($A384,Transcodifica!$A$5:$J$400,7,FALSE()),""))</f>
        <v/>
      </c>
      <c r="K384" s="6" t="str">
        <f aca="false">IF($A384="","",IFERROR(VLOOKUP($A384,Transcodifica!$A$5:$J$400,8,FALSE()),""))</f>
        <v/>
      </c>
      <c r="L384" s="6" t="str">
        <f aca="false">IF($A384="","",IFERROR(VLOOKUP($A384,Transcodifica!$A$5:$J$400,9,FALSE()),""))</f>
        <v/>
      </c>
      <c r="M384" s="8" t="str">
        <f aca="false">IF($A384="","",IF($E384="APPROVATO",1,IF($E384="In svolgimento",IF($F384="",0,$F384),0)))</f>
        <v/>
      </c>
      <c r="N384" s="10" t="str">
        <f aca="false">IF(OR($A384="",$I384="NON MAPPATO",$I384=""),"",$L384*$M384)</f>
        <v/>
      </c>
    </row>
    <row r="385" customFormat="false" ht="15" hidden="false" customHeight="false" outlineLevel="0" collapsed="false">
      <c r="A385" s="6"/>
      <c r="B385" s="7"/>
      <c r="C385" s="6"/>
      <c r="D385" s="6"/>
      <c r="E385" s="6"/>
      <c r="F385" s="8"/>
      <c r="G385" s="9"/>
      <c r="H385" s="7"/>
      <c r="I385" s="6" t="str">
        <f aca="false">IF($A385="","",IFERROR(VLOOKUP($A385,Transcodifica!$A$5:$J$400,5,FALSE()),"NON MAPPATO"))</f>
        <v/>
      </c>
      <c r="J385" s="6" t="str">
        <f aca="false">IF($A385="","",IFERROR(VLOOKUP($A385,Transcodifica!$A$5:$J$400,7,FALSE()),""))</f>
        <v/>
      </c>
      <c r="K385" s="6" t="str">
        <f aca="false">IF($A385="","",IFERROR(VLOOKUP($A385,Transcodifica!$A$5:$J$400,8,FALSE()),""))</f>
        <v/>
      </c>
      <c r="L385" s="6" t="str">
        <f aca="false">IF($A385="","",IFERROR(VLOOKUP($A385,Transcodifica!$A$5:$J$400,9,FALSE()),""))</f>
        <v/>
      </c>
      <c r="M385" s="8" t="str">
        <f aca="false">IF($A385="","",IF($E385="APPROVATO",1,IF($E385="In svolgimento",IF($F385="",0,$F385),0)))</f>
        <v/>
      </c>
      <c r="N385" s="10" t="str">
        <f aca="false">IF(OR($A385="",$I385="NON MAPPATO",$I385=""),"",$L385*$M385)</f>
        <v/>
      </c>
    </row>
    <row r="386" customFormat="false" ht="15" hidden="false" customHeight="false" outlineLevel="0" collapsed="false">
      <c r="A386" s="6"/>
      <c r="B386" s="7"/>
      <c r="C386" s="6"/>
      <c r="D386" s="6"/>
      <c r="E386" s="6"/>
      <c r="F386" s="8"/>
      <c r="G386" s="9"/>
      <c r="H386" s="7"/>
      <c r="I386" s="6" t="str">
        <f aca="false">IF($A386="","",IFERROR(VLOOKUP($A386,Transcodifica!$A$5:$J$400,5,FALSE()),"NON MAPPATO"))</f>
        <v/>
      </c>
      <c r="J386" s="6" t="str">
        <f aca="false">IF($A386="","",IFERROR(VLOOKUP($A386,Transcodifica!$A$5:$J$400,7,FALSE()),""))</f>
        <v/>
      </c>
      <c r="K386" s="6" t="str">
        <f aca="false">IF($A386="","",IFERROR(VLOOKUP($A386,Transcodifica!$A$5:$J$400,8,FALSE()),""))</f>
        <v/>
      </c>
      <c r="L386" s="6" t="str">
        <f aca="false">IF($A386="","",IFERROR(VLOOKUP($A386,Transcodifica!$A$5:$J$400,9,FALSE()),""))</f>
        <v/>
      </c>
      <c r="M386" s="8" t="str">
        <f aca="false">IF($A386="","",IF($E386="APPROVATO",1,IF($E386="In svolgimento",IF($F386="",0,$F386),0)))</f>
        <v/>
      </c>
      <c r="N386" s="10" t="str">
        <f aca="false">IF(OR($A386="",$I386="NON MAPPATO",$I386=""),"",$L386*$M386)</f>
        <v/>
      </c>
    </row>
    <row r="387" customFormat="false" ht="15" hidden="false" customHeight="false" outlineLevel="0" collapsed="false">
      <c r="A387" s="6"/>
      <c r="B387" s="7"/>
      <c r="C387" s="6"/>
      <c r="D387" s="6"/>
      <c r="E387" s="6"/>
      <c r="F387" s="8"/>
      <c r="G387" s="9"/>
      <c r="H387" s="7"/>
      <c r="I387" s="6" t="str">
        <f aca="false">IF($A387="","",IFERROR(VLOOKUP($A387,Transcodifica!$A$5:$J$400,5,FALSE()),"NON MAPPATO"))</f>
        <v/>
      </c>
      <c r="J387" s="6" t="str">
        <f aca="false">IF($A387="","",IFERROR(VLOOKUP($A387,Transcodifica!$A$5:$J$400,7,FALSE()),""))</f>
        <v/>
      </c>
      <c r="K387" s="6" t="str">
        <f aca="false">IF($A387="","",IFERROR(VLOOKUP($A387,Transcodifica!$A$5:$J$400,8,FALSE()),""))</f>
        <v/>
      </c>
      <c r="L387" s="6" t="str">
        <f aca="false">IF($A387="","",IFERROR(VLOOKUP($A387,Transcodifica!$A$5:$J$400,9,FALSE()),""))</f>
        <v/>
      </c>
      <c r="M387" s="8" t="str">
        <f aca="false">IF($A387="","",IF($E387="APPROVATO",1,IF($E387="In svolgimento",IF($F387="",0,$F387),0)))</f>
        <v/>
      </c>
      <c r="N387" s="10" t="str">
        <f aca="false">IF(OR($A387="",$I387="NON MAPPATO",$I387=""),"",$L387*$M387)</f>
        <v/>
      </c>
    </row>
    <row r="388" customFormat="false" ht="15" hidden="false" customHeight="false" outlineLevel="0" collapsed="false">
      <c r="A388" s="6"/>
      <c r="B388" s="7"/>
      <c r="C388" s="6"/>
      <c r="D388" s="6"/>
      <c r="E388" s="6"/>
      <c r="F388" s="8"/>
      <c r="G388" s="9"/>
      <c r="H388" s="7"/>
      <c r="I388" s="6" t="str">
        <f aca="false">IF($A388="","",IFERROR(VLOOKUP($A388,Transcodifica!$A$5:$J$400,5,FALSE()),"NON MAPPATO"))</f>
        <v/>
      </c>
      <c r="J388" s="6" t="str">
        <f aca="false">IF($A388="","",IFERROR(VLOOKUP($A388,Transcodifica!$A$5:$J$400,7,FALSE()),""))</f>
        <v/>
      </c>
      <c r="K388" s="6" t="str">
        <f aca="false">IF($A388="","",IFERROR(VLOOKUP($A388,Transcodifica!$A$5:$J$400,8,FALSE()),""))</f>
        <v/>
      </c>
      <c r="L388" s="6" t="str">
        <f aca="false">IF($A388="","",IFERROR(VLOOKUP($A388,Transcodifica!$A$5:$J$400,9,FALSE()),""))</f>
        <v/>
      </c>
      <c r="M388" s="8" t="str">
        <f aca="false">IF($A388="","",IF($E388="APPROVATO",1,IF($E388="In svolgimento",IF($F388="",0,$F388),0)))</f>
        <v/>
      </c>
      <c r="N388" s="10" t="str">
        <f aca="false">IF(OR($A388="",$I388="NON MAPPATO",$I388=""),"",$L388*$M388)</f>
        <v/>
      </c>
    </row>
    <row r="389" customFormat="false" ht="15" hidden="false" customHeight="false" outlineLevel="0" collapsed="false">
      <c r="A389" s="6"/>
      <c r="B389" s="7"/>
      <c r="C389" s="6"/>
      <c r="D389" s="6"/>
      <c r="E389" s="6"/>
      <c r="F389" s="8"/>
      <c r="G389" s="9"/>
      <c r="H389" s="7"/>
      <c r="I389" s="6" t="str">
        <f aca="false">IF($A389="","",IFERROR(VLOOKUP($A389,Transcodifica!$A$5:$J$400,5,FALSE()),"NON MAPPATO"))</f>
        <v/>
      </c>
      <c r="J389" s="6" t="str">
        <f aca="false">IF($A389="","",IFERROR(VLOOKUP($A389,Transcodifica!$A$5:$J$400,7,FALSE()),""))</f>
        <v/>
      </c>
      <c r="K389" s="6" t="str">
        <f aca="false">IF($A389="","",IFERROR(VLOOKUP($A389,Transcodifica!$A$5:$J$400,8,FALSE()),""))</f>
        <v/>
      </c>
      <c r="L389" s="6" t="str">
        <f aca="false">IF($A389="","",IFERROR(VLOOKUP($A389,Transcodifica!$A$5:$J$400,9,FALSE()),""))</f>
        <v/>
      </c>
      <c r="M389" s="8" t="str">
        <f aca="false">IF($A389="","",IF($E389="APPROVATO",1,IF($E389="In svolgimento",IF($F389="",0,$F389),0)))</f>
        <v/>
      </c>
      <c r="N389" s="10" t="str">
        <f aca="false">IF(OR($A389="",$I389="NON MAPPATO",$I389=""),"",$L389*$M389)</f>
        <v/>
      </c>
    </row>
    <row r="390" customFormat="false" ht="15" hidden="false" customHeight="false" outlineLevel="0" collapsed="false">
      <c r="A390" s="6"/>
      <c r="B390" s="7"/>
      <c r="C390" s="6"/>
      <c r="D390" s="6"/>
      <c r="E390" s="6"/>
      <c r="F390" s="8"/>
      <c r="G390" s="9"/>
      <c r="H390" s="7"/>
      <c r="I390" s="6" t="str">
        <f aca="false">IF($A390="","",IFERROR(VLOOKUP($A390,Transcodifica!$A$5:$J$400,5,FALSE()),"NON MAPPATO"))</f>
        <v/>
      </c>
      <c r="J390" s="6" t="str">
        <f aca="false">IF($A390="","",IFERROR(VLOOKUP($A390,Transcodifica!$A$5:$J$400,7,FALSE()),""))</f>
        <v/>
      </c>
      <c r="K390" s="6" t="str">
        <f aca="false">IF($A390="","",IFERROR(VLOOKUP($A390,Transcodifica!$A$5:$J$400,8,FALSE()),""))</f>
        <v/>
      </c>
      <c r="L390" s="6" t="str">
        <f aca="false">IF($A390="","",IFERROR(VLOOKUP($A390,Transcodifica!$A$5:$J$400,9,FALSE()),""))</f>
        <v/>
      </c>
      <c r="M390" s="8" t="str">
        <f aca="false">IF($A390="","",IF($E390="APPROVATO",1,IF($E390="In svolgimento",IF($F390="",0,$F390),0)))</f>
        <v/>
      </c>
      <c r="N390" s="10" t="str">
        <f aca="false">IF(OR($A390="",$I390="NON MAPPATO",$I390=""),"",$L390*$M390)</f>
        <v/>
      </c>
    </row>
    <row r="391" customFormat="false" ht="15" hidden="false" customHeight="false" outlineLevel="0" collapsed="false">
      <c r="A391" s="6"/>
      <c r="B391" s="7"/>
      <c r="C391" s="6"/>
      <c r="D391" s="6"/>
      <c r="E391" s="6"/>
      <c r="F391" s="8"/>
      <c r="G391" s="9"/>
      <c r="H391" s="7"/>
      <c r="I391" s="6" t="str">
        <f aca="false">IF($A391="","",IFERROR(VLOOKUP($A391,Transcodifica!$A$5:$J$400,5,FALSE()),"NON MAPPATO"))</f>
        <v/>
      </c>
      <c r="J391" s="6" t="str">
        <f aca="false">IF($A391="","",IFERROR(VLOOKUP($A391,Transcodifica!$A$5:$J$400,7,FALSE()),""))</f>
        <v/>
      </c>
      <c r="K391" s="6" t="str">
        <f aca="false">IF($A391="","",IFERROR(VLOOKUP($A391,Transcodifica!$A$5:$J$400,8,FALSE()),""))</f>
        <v/>
      </c>
      <c r="L391" s="6" t="str">
        <f aca="false">IF($A391="","",IFERROR(VLOOKUP($A391,Transcodifica!$A$5:$J$400,9,FALSE()),""))</f>
        <v/>
      </c>
      <c r="M391" s="8" t="str">
        <f aca="false">IF($A391="","",IF($E391="APPROVATO",1,IF($E391="In svolgimento",IF($F391="",0,$F391),0)))</f>
        <v/>
      </c>
      <c r="N391" s="10" t="str">
        <f aca="false">IF(OR($A391="",$I391="NON MAPPATO",$I391=""),"",$L391*$M391)</f>
        <v/>
      </c>
    </row>
    <row r="392" customFormat="false" ht="15" hidden="false" customHeight="false" outlineLevel="0" collapsed="false">
      <c r="A392" s="6"/>
      <c r="B392" s="7"/>
      <c r="C392" s="6"/>
      <c r="D392" s="6"/>
      <c r="E392" s="6"/>
      <c r="F392" s="8"/>
      <c r="G392" s="9"/>
      <c r="H392" s="7"/>
      <c r="I392" s="6" t="str">
        <f aca="false">IF($A392="","",IFERROR(VLOOKUP($A392,Transcodifica!$A$5:$J$400,5,FALSE()),"NON MAPPATO"))</f>
        <v/>
      </c>
      <c r="J392" s="6" t="str">
        <f aca="false">IF($A392="","",IFERROR(VLOOKUP($A392,Transcodifica!$A$5:$J$400,7,FALSE()),""))</f>
        <v/>
      </c>
      <c r="K392" s="6" t="str">
        <f aca="false">IF($A392="","",IFERROR(VLOOKUP($A392,Transcodifica!$A$5:$J$400,8,FALSE()),""))</f>
        <v/>
      </c>
      <c r="L392" s="6" t="str">
        <f aca="false">IF($A392="","",IFERROR(VLOOKUP($A392,Transcodifica!$A$5:$J$400,9,FALSE()),""))</f>
        <v/>
      </c>
      <c r="M392" s="8" t="str">
        <f aca="false">IF($A392="","",IF($E392="APPROVATO",1,IF($E392="In svolgimento",IF($F392="",0,$F392),0)))</f>
        <v/>
      </c>
      <c r="N392" s="10" t="str">
        <f aca="false">IF(OR($A392="",$I392="NON MAPPATO",$I392=""),"",$L392*$M392)</f>
        <v/>
      </c>
    </row>
    <row r="393" customFormat="false" ht="15" hidden="false" customHeight="false" outlineLevel="0" collapsed="false">
      <c r="A393" s="6"/>
      <c r="B393" s="7"/>
      <c r="C393" s="6"/>
      <c r="D393" s="6"/>
      <c r="E393" s="6"/>
      <c r="F393" s="8"/>
      <c r="G393" s="9"/>
      <c r="H393" s="7"/>
      <c r="I393" s="6" t="str">
        <f aca="false">IF($A393="","",IFERROR(VLOOKUP($A393,Transcodifica!$A$5:$J$400,5,FALSE()),"NON MAPPATO"))</f>
        <v/>
      </c>
      <c r="J393" s="6" t="str">
        <f aca="false">IF($A393="","",IFERROR(VLOOKUP($A393,Transcodifica!$A$5:$J$400,7,FALSE()),""))</f>
        <v/>
      </c>
      <c r="K393" s="6" t="str">
        <f aca="false">IF($A393="","",IFERROR(VLOOKUP($A393,Transcodifica!$A$5:$J$400,8,FALSE()),""))</f>
        <v/>
      </c>
      <c r="L393" s="6" t="str">
        <f aca="false">IF($A393="","",IFERROR(VLOOKUP($A393,Transcodifica!$A$5:$J$400,9,FALSE()),""))</f>
        <v/>
      </c>
      <c r="M393" s="8" t="str">
        <f aca="false">IF($A393="","",IF($E393="APPROVATO",1,IF($E393="In svolgimento",IF($F393="",0,$F393),0)))</f>
        <v/>
      </c>
      <c r="N393" s="10" t="str">
        <f aca="false">IF(OR($A393="",$I393="NON MAPPATO",$I393=""),"",$L393*$M393)</f>
        <v/>
      </c>
    </row>
    <row r="394" customFormat="false" ht="15" hidden="false" customHeight="false" outlineLevel="0" collapsed="false">
      <c r="A394" s="6"/>
      <c r="B394" s="7"/>
      <c r="C394" s="6"/>
      <c r="D394" s="6"/>
      <c r="E394" s="6"/>
      <c r="F394" s="8"/>
      <c r="G394" s="9"/>
      <c r="H394" s="7"/>
      <c r="I394" s="6" t="str">
        <f aca="false">IF($A394="","",IFERROR(VLOOKUP($A394,Transcodifica!$A$5:$J$400,5,FALSE()),"NON MAPPATO"))</f>
        <v/>
      </c>
      <c r="J394" s="6" t="str">
        <f aca="false">IF($A394="","",IFERROR(VLOOKUP($A394,Transcodifica!$A$5:$J$400,7,FALSE()),""))</f>
        <v/>
      </c>
      <c r="K394" s="6" t="str">
        <f aca="false">IF($A394="","",IFERROR(VLOOKUP($A394,Transcodifica!$A$5:$J$400,8,FALSE()),""))</f>
        <v/>
      </c>
      <c r="L394" s="6" t="str">
        <f aca="false">IF($A394="","",IFERROR(VLOOKUP($A394,Transcodifica!$A$5:$J$400,9,FALSE()),""))</f>
        <v/>
      </c>
      <c r="M394" s="8" t="str">
        <f aca="false">IF($A394="","",IF($E394="APPROVATO",1,IF($E394="In svolgimento",IF($F394="",0,$F394),0)))</f>
        <v/>
      </c>
      <c r="N394" s="10" t="str">
        <f aca="false">IF(OR($A394="",$I394="NON MAPPATO",$I394=""),"",$L394*$M394)</f>
        <v/>
      </c>
    </row>
    <row r="395" customFormat="false" ht="15" hidden="false" customHeight="false" outlineLevel="0" collapsed="false">
      <c r="A395" s="6"/>
      <c r="B395" s="7"/>
      <c r="C395" s="6"/>
      <c r="D395" s="6"/>
      <c r="E395" s="6"/>
      <c r="F395" s="8"/>
      <c r="G395" s="9"/>
      <c r="H395" s="7"/>
      <c r="I395" s="6" t="str">
        <f aca="false">IF($A395="","",IFERROR(VLOOKUP($A395,Transcodifica!$A$5:$J$400,5,FALSE()),"NON MAPPATO"))</f>
        <v/>
      </c>
      <c r="J395" s="6" t="str">
        <f aca="false">IF($A395="","",IFERROR(VLOOKUP($A395,Transcodifica!$A$5:$J$400,7,FALSE()),""))</f>
        <v/>
      </c>
      <c r="K395" s="6" t="str">
        <f aca="false">IF($A395="","",IFERROR(VLOOKUP($A395,Transcodifica!$A$5:$J$400,8,FALSE()),""))</f>
        <v/>
      </c>
      <c r="L395" s="6" t="str">
        <f aca="false">IF($A395="","",IFERROR(VLOOKUP($A395,Transcodifica!$A$5:$J$400,9,FALSE()),""))</f>
        <v/>
      </c>
      <c r="M395" s="8" t="str">
        <f aca="false">IF($A395="","",IF($E395="APPROVATO",1,IF($E395="In svolgimento",IF($F395="",0,$F395),0)))</f>
        <v/>
      </c>
      <c r="N395" s="10" t="str">
        <f aca="false">IF(OR($A395="",$I395="NON MAPPATO",$I395=""),"",$L395*$M395)</f>
        <v/>
      </c>
    </row>
    <row r="396" customFormat="false" ht="15" hidden="false" customHeight="false" outlineLevel="0" collapsed="false">
      <c r="A396" s="6"/>
      <c r="B396" s="7"/>
      <c r="C396" s="6"/>
      <c r="D396" s="6"/>
      <c r="E396" s="6"/>
      <c r="F396" s="8"/>
      <c r="G396" s="9"/>
      <c r="H396" s="7"/>
      <c r="I396" s="6" t="str">
        <f aca="false">IF($A396="","",IFERROR(VLOOKUP($A396,Transcodifica!$A$5:$J$400,5,FALSE()),"NON MAPPATO"))</f>
        <v/>
      </c>
      <c r="J396" s="6" t="str">
        <f aca="false">IF($A396="","",IFERROR(VLOOKUP($A396,Transcodifica!$A$5:$J$400,7,FALSE()),""))</f>
        <v/>
      </c>
      <c r="K396" s="6" t="str">
        <f aca="false">IF($A396="","",IFERROR(VLOOKUP($A396,Transcodifica!$A$5:$J$400,8,FALSE()),""))</f>
        <v/>
      </c>
      <c r="L396" s="6" t="str">
        <f aca="false">IF($A396="","",IFERROR(VLOOKUP($A396,Transcodifica!$A$5:$J$400,9,FALSE()),""))</f>
        <v/>
      </c>
      <c r="M396" s="8" t="str">
        <f aca="false">IF($A396="","",IF($E396="APPROVATO",1,IF($E396="In svolgimento",IF($F396="",0,$F396),0)))</f>
        <v/>
      </c>
      <c r="N396" s="10" t="str">
        <f aca="false">IF(OR($A396="",$I396="NON MAPPATO",$I396=""),"",$L396*$M396)</f>
        <v/>
      </c>
    </row>
    <row r="397" customFormat="false" ht="15" hidden="false" customHeight="false" outlineLevel="0" collapsed="false">
      <c r="A397" s="6"/>
      <c r="B397" s="7"/>
      <c r="C397" s="6"/>
      <c r="D397" s="6"/>
      <c r="E397" s="6"/>
      <c r="F397" s="8"/>
      <c r="G397" s="9"/>
      <c r="H397" s="7"/>
      <c r="I397" s="6" t="str">
        <f aca="false">IF($A397="","",IFERROR(VLOOKUP($A397,Transcodifica!$A$5:$J$400,5,FALSE()),"NON MAPPATO"))</f>
        <v/>
      </c>
      <c r="J397" s="6" t="str">
        <f aca="false">IF($A397="","",IFERROR(VLOOKUP($A397,Transcodifica!$A$5:$J$400,7,FALSE()),""))</f>
        <v/>
      </c>
      <c r="K397" s="6" t="str">
        <f aca="false">IF($A397="","",IFERROR(VLOOKUP($A397,Transcodifica!$A$5:$J$400,8,FALSE()),""))</f>
        <v/>
      </c>
      <c r="L397" s="6" t="str">
        <f aca="false">IF($A397="","",IFERROR(VLOOKUP($A397,Transcodifica!$A$5:$J$400,9,FALSE()),""))</f>
        <v/>
      </c>
      <c r="M397" s="8" t="str">
        <f aca="false">IF($A397="","",IF($E397="APPROVATO",1,IF($E397="In svolgimento",IF($F397="",0,$F397),0)))</f>
        <v/>
      </c>
      <c r="N397" s="10" t="str">
        <f aca="false">IF(OR($A397="",$I397="NON MAPPATO",$I397=""),"",$L397*$M397)</f>
        <v/>
      </c>
    </row>
    <row r="398" customFormat="false" ht="15" hidden="false" customHeight="false" outlineLevel="0" collapsed="false">
      <c r="A398" s="6"/>
      <c r="B398" s="7"/>
      <c r="C398" s="6"/>
      <c r="D398" s="6"/>
      <c r="E398" s="6"/>
      <c r="F398" s="8"/>
      <c r="G398" s="9"/>
      <c r="H398" s="7"/>
      <c r="I398" s="6" t="str">
        <f aca="false">IF($A398="","",IFERROR(VLOOKUP($A398,Transcodifica!$A$5:$J$400,5,FALSE()),"NON MAPPATO"))</f>
        <v/>
      </c>
      <c r="J398" s="6" t="str">
        <f aca="false">IF($A398="","",IFERROR(VLOOKUP($A398,Transcodifica!$A$5:$J$400,7,FALSE()),""))</f>
        <v/>
      </c>
      <c r="K398" s="6" t="str">
        <f aca="false">IF($A398="","",IFERROR(VLOOKUP($A398,Transcodifica!$A$5:$J$400,8,FALSE()),""))</f>
        <v/>
      </c>
      <c r="L398" s="6" t="str">
        <f aca="false">IF($A398="","",IFERROR(VLOOKUP($A398,Transcodifica!$A$5:$J$400,9,FALSE()),""))</f>
        <v/>
      </c>
      <c r="M398" s="8" t="str">
        <f aca="false">IF($A398="","",IF($E398="APPROVATO",1,IF($E398="In svolgimento",IF($F398="",0,$F398),0)))</f>
        <v/>
      </c>
      <c r="N398" s="10" t="str">
        <f aca="false">IF(OR($A398="",$I398="NON MAPPATO",$I398=""),"",$L398*$M398)</f>
        <v/>
      </c>
    </row>
    <row r="399" customFormat="false" ht="15" hidden="false" customHeight="false" outlineLevel="0" collapsed="false">
      <c r="A399" s="6"/>
      <c r="B399" s="7"/>
      <c r="C399" s="6"/>
      <c r="D399" s="6"/>
      <c r="E399" s="6"/>
      <c r="F399" s="8"/>
      <c r="G399" s="9"/>
      <c r="H399" s="7"/>
      <c r="I399" s="6" t="str">
        <f aca="false">IF($A399="","",IFERROR(VLOOKUP($A399,Transcodifica!$A$5:$J$400,5,FALSE()),"NON MAPPATO"))</f>
        <v/>
      </c>
      <c r="J399" s="6" t="str">
        <f aca="false">IF($A399="","",IFERROR(VLOOKUP($A399,Transcodifica!$A$5:$J$400,7,FALSE()),""))</f>
        <v/>
      </c>
      <c r="K399" s="6" t="str">
        <f aca="false">IF($A399="","",IFERROR(VLOOKUP($A399,Transcodifica!$A$5:$J$400,8,FALSE()),""))</f>
        <v/>
      </c>
      <c r="L399" s="6" t="str">
        <f aca="false">IF($A399="","",IFERROR(VLOOKUP($A399,Transcodifica!$A$5:$J$400,9,FALSE()),""))</f>
        <v/>
      </c>
      <c r="M399" s="8" t="str">
        <f aca="false">IF($A399="","",IF($E399="APPROVATO",1,IF($E399="In svolgimento",IF($F399="",0,$F399),0)))</f>
        <v/>
      </c>
      <c r="N399" s="10" t="str">
        <f aca="false">IF(OR($A399="",$I399="NON MAPPATO",$I399=""),"",$L399*$M399)</f>
        <v/>
      </c>
    </row>
    <row r="400" customFormat="false" ht="15" hidden="false" customHeight="false" outlineLevel="0" collapsed="false">
      <c r="A400" s="6"/>
      <c r="B400" s="7"/>
      <c r="C400" s="6"/>
      <c r="D400" s="6"/>
      <c r="E400" s="6"/>
      <c r="F400" s="8"/>
      <c r="G400" s="9"/>
      <c r="H400" s="7"/>
      <c r="I400" s="6" t="str">
        <f aca="false">IF($A400="","",IFERROR(VLOOKUP($A400,Transcodifica!$A$5:$J$400,5,FALSE()),"NON MAPPATO"))</f>
        <v/>
      </c>
      <c r="J400" s="6" t="str">
        <f aca="false">IF($A400="","",IFERROR(VLOOKUP($A400,Transcodifica!$A$5:$J$400,7,FALSE()),""))</f>
        <v/>
      </c>
      <c r="K400" s="6" t="str">
        <f aca="false">IF($A400="","",IFERROR(VLOOKUP($A400,Transcodifica!$A$5:$J$400,8,FALSE()),""))</f>
        <v/>
      </c>
      <c r="L400" s="6" t="str">
        <f aca="false">IF($A400="","",IFERROR(VLOOKUP($A400,Transcodifica!$A$5:$J$400,9,FALSE()),""))</f>
        <v/>
      </c>
      <c r="M400" s="8" t="str">
        <f aca="false">IF($A400="","",IF($E400="APPROVATO",1,IF($E400="In svolgimento",IF($F400="",0,$F400),0)))</f>
        <v/>
      </c>
      <c r="N400" s="10" t="str">
        <f aca="false">IF(OR($A400="",$I400="NON MAPPATO",$I400=""),"",$L400*$M400)</f>
        <v/>
      </c>
    </row>
    <row r="401" customFormat="false" ht="15" hidden="false" customHeight="false" outlineLevel="0" collapsed="false">
      <c r="A401" s="6"/>
      <c r="B401" s="7"/>
      <c r="C401" s="6"/>
      <c r="D401" s="6"/>
      <c r="E401" s="6"/>
      <c r="F401" s="8"/>
      <c r="G401" s="9"/>
      <c r="H401" s="7"/>
      <c r="I401" s="6" t="str">
        <f aca="false">IF($A401="","",IFERROR(VLOOKUP($A401,Transcodifica!$A$5:$J$400,5,FALSE()),"NON MAPPATO"))</f>
        <v/>
      </c>
      <c r="J401" s="6" t="str">
        <f aca="false">IF($A401="","",IFERROR(VLOOKUP($A401,Transcodifica!$A$5:$J$400,7,FALSE()),""))</f>
        <v/>
      </c>
      <c r="K401" s="6" t="str">
        <f aca="false">IF($A401="","",IFERROR(VLOOKUP($A401,Transcodifica!$A$5:$J$400,8,FALSE()),""))</f>
        <v/>
      </c>
      <c r="L401" s="6" t="str">
        <f aca="false">IF($A401="","",IFERROR(VLOOKUP($A401,Transcodifica!$A$5:$J$400,9,FALSE()),""))</f>
        <v/>
      </c>
      <c r="M401" s="8" t="str">
        <f aca="false">IF($A401="","",IF($E401="APPROVATO",1,IF($E401="In svolgimento",IF($F401="",0,$F401),0)))</f>
        <v/>
      </c>
      <c r="N401" s="10" t="str">
        <f aca="false">IF(OR($A401="",$I401="NON MAPPATO",$I401=""),"",$L401*$M401)</f>
        <v/>
      </c>
    </row>
    <row r="402" customFormat="false" ht="15" hidden="false" customHeight="false" outlineLevel="0" collapsed="false">
      <c r="A402" s="6"/>
      <c r="B402" s="7"/>
      <c r="C402" s="6"/>
      <c r="D402" s="6"/>
      <c r="E402" s="6"/>
      <c r="F402" s="8"/>
      <c r="G402" s="9"/>
      <c r="H402" s="7"/>
      <c r="I402" s="6" t="str">
        <f aca="false">IF($A402="","",IFERROR(VLOOKUP($A402,Transcodifica!$A$5:$J$400,5,FALSE()),"NON MAPPATO"))</f>
        <v/>
      </c>
      <c r="J402" s="6" t="str">
        <f aca="false">IF($A402="","",IFERROR(VLOOKUP($A402,Transcodifica!$A$5:$J$400,7,FALSE()),""))</f>
        <v/>
      </c>
      <c r="K402" s="6" t="str">
        <f aca="false">IF($A402="","",IFERROR(VLOOKUP($A402,Transcodifica!$A$5:$J$400,8,FALSE()),""))</f>
        <v/>
      </c>
      <c r="L402" s="6" t="str">
        <f aca="false">IF($A402="","",IFERROR(VLOOKUP($A402,Transcodifica!$A$5:$J$400,9,FALSE()),""))</f>
        <v/>
      </c>
      <c r="M402" s="8" t="str">
        <f aca="false">IF($A402="","",IF($E402="APPROVATO",1,IF($E402="In svolgimento",IF($F402="",0,$F402),0)))</f>
        <v/>
      </c>
      <c r="N402" s="10" t="str">
        <f aca="false">IF(OR($A402="",$I402="NON MAPPATO",$I402=""),"",$L402*$M402)</f>
        <v/>
      </c>
    </row>
    <row r="403" customFormat="false" ht="15" hidden="false" customHeight="false" outlineLevel="0" collapsed="false">
      <c r="A403" s="6"/>
      <c r="B403" s="7"/>
      <c r="C403" s="6"/>
      <c r="D403" s="6"/>
      <c r="E403" s="6"/>
      <c r="F403" s="8"/>
      <c r="G403" s="9"/>
      <c r="H403" s="7"/>
      <c r="I403" s="6" t="str">
        <f aca="false">IF($A403="","",IFERROR(VLOOKUP($A403,Transcodifica!$A$5:$J$400,5,FALSE()),"NON MAPPATO"))</f>
        <v/>
      </c>
      <c r="J403" s="6" t="str">
        <f aca="false">IF($A403="","",IFERROR(VLOOKUP($A403,Transcodifica!$A$5:$J$400,7,FALSE()),""))</f>
        <v/>
      </c>
      <c r="K403" s="6" t="str">
        <f aca="false">IF($A403="","",IFERROR(VLOOKUP($A403,Transcodifica!$A$5:$J$400,8,FALSE()),""))</f>
        <v/>
      </c>
      <c r="L403" s="6" t="str">
        <f aca="false">IF($A403="","",IFERROR(VLOOKUP($A403,Transcodifica!$A$5:$J$400,9,FALSE()),""))</f>
        <v/>
      </c>
      <c r="M403" s="8" t="str">
        <f aca="false">IF($A403="","",IF($E403="APPROVATO",1,IF($E403="In svolgimento",IF($F403="",0,$F403),0)))</f>
        <v/>
      </c>
      <c r="N403" s="10" t="str">
        <f aca="false">IF(OR($A403="",$I403="NON MAPPATO",$I403=""),"",$L403*$M403)</f>
        <v/>
      </c>
    </row>
    <row r="404" customFormat="false" ht="15" hidden="false" customHeight="false" outlineLevel="0" collapsed="false">
      <c r="A404" s="6"/>
      <c r="B404" s="7"/>
      <c r="C404" s="6"/>
      <c r="D404" s="6"/>
      <c r="E404" s="6"/>
      <c r="F404" s="8"/>
      <c r="G404" s="9"/>
      <c r="H404" s="7"/>
      <c r="I404" s="6" t="str">
        <f aca="false">IF($A404="","",IFERROR(VLOOKUP($A404,Transcodifica!$A$5:$J$400,5,FALSE()),"NON MAPPATO"))</f>
        <v/>
      </c>
      <c r="J404" s="6" t="str">
        <f aca="false">IF($A404="","",IFERROR(VLOOKUP($A404,Transcodifica!$A$5:$J$400,7,FALSE()),""))</f>
        <v/>
      </c>
      <c r="K404" s="6" t="str">
        <f aca="false">IF($A404="","",IFERROR(VLOOKUP($A404,Transcodifica!$A$5:$J$400,8,FALSE()),""))</f>
        <v/>
      </c>
      <c r="L404" s="6" t="str">
        <f aca="false">IF($A404="","",IFERROR(VLOOKUP($A404,Transcodifica!$A$5:$J$400,9,FALSE()),""))</f>
        <v/>
      </c>
      <c r="M404" s="8" t="str">
        <f aca="false">IF($A404="","",IF($E404="APPROVATO",1,IF($E404="In svolgimento",IF($F404="",0,$F404),0)))</f>
        <v/>
      </c>
      <c r="N404" s="10" t="str">
        <f aca="false">IF(OR($A404="",$I404="NON MAPPATO",$I404=""),"",$L404*$M404)</f>
        <v/>
      </c>
    </row>
    <row r="405" customFormat="false" ht="15" hidden="false" customHeight="false" outlineLevel="0" collapsed="false">
      <c r="A405" s="6"/>
      <c r="B405" s="7"/>
      <c r="C405" s="6"/>
      <c r="D405" s="6"/>
      <c r="E405" s="6"/>
      <c r="F405" s="8"/>
      <c r="G405" s="9"/>
      <c r="H405" s="7"/>
      <c r="I405" s="6" t="str">
        <f aca="false">IF($A405="","",IFERROR(VLOOKUP($A405,Transcodifica!$A$5:$J$400,5,FALSE()),"NON MAPPATO"))</f>
        <v/>
      </c>
      <c r="J405" s="6" t="str">
        <f aca="false">IF($A405="","",IFERROR(VLOOKUP($A405,Transcodifica!$A$5:$J$400,7,FALSE()),""))</f>
        <v/>
      </c>
      <c r="K405" s="6" t="str">
        <f aca="false">IF($A405="","",IFERROR(VLOOKUP($A405,Transcodifica!$A$5:$J$400,8,FALSE()),""))</f>
        <v/>
      </c>
      <c r="L405" s="6" t="str">
        <f aca="false">IF($A405="","",IFERROR(VLOOKUP($A405,Transcodifica!$A$5:$J$400,9,FALSE()),""))</f>
        <v/>
      </c>
      <c r="M405" s="8" t="str">
        <f aca="false">IF($A405="","",IF($E405="APPROVATO",1,IF($E405="In svolgimento",IF($F405="",0,$F405),0)))</f>
        <v/>
      </c>
      <c r="N405" s="10" t="str">
        <f aca="false">IF(OR($A405="",$I405="NON MAPPATO",$I405=""),"",$L405*$M405)</f>
        <v/>
      </c>
    </row>
    <row r="406" customFormat="false" ht="15" hidden="false" customHeight="false" outlineLevel="0" collapsed="false">
      <c r="A406" s="6"/>
      <c r="B406" s="7"/>
      <c r="C406" s="6"/>
      <c r="D406" s="6"/>
      <c r="E406" s="6"/>
      <c r="F406" s="8"/>
      <c r="G406" s="9"/>
      <c r="H406" s="7"/>
      <c r="I406" s="6" t="str">
        <f aca="false">IF($A406="","",IFERROR(VLOOKUP($A406,Transcodifica!$A$5:$J$400,5,FALSE()),"NON MAPPATO"))</f>
        <v/>
      </c>
      <c r="J406" s="6" t="str">
        <f aca="false">IF($A406="","",IFERROR(VLOOKUP($A406,Transcodifica!$A$5:$J$400,7,FALSE()),""))</f>
        <v/>
      </c>
      <c r="K406" s="6" t="str">
        <f aca="false">IF($A406="","",IFERROR(VLOOKUP($A406,Transcodifica!$A$5:$J$400,8,FALSE()),""))</f>
        <v/>
      </c>
      <c r="L406" s="6" t="str">
        <f aca="false">IF($A406="","",IFERROR(VLOOKUP($A406,Transcodifica!$A$5:$J$400,9,FALSE()),""))</f>
        <v/>
      </c>
      <c r="M406" s="8" t="str">
        <f aca="false">IF($A406="","",IF($E406="APPROVATO",1,IF($E406="In svolgimento",IF($F406="",0,$F406),0)))</f>
        <v/>
      </c>
      <c r="N406" s="10" t="str">
        <f aca="false">IF(OR($A406="",$I406="NON MAPPATO",$I406=""),"",$L406*$M406)</f>
        <v/>
      </c>
    </row>
    <row r="407" customFormat="false" ht="15" hidden="false" customHeight="false" outlineLevel="0" collapsed="false">
      <c r="A407" s="6"/>
      <c r="B407" s="7"/>
      <c r="C407" s="6"/>
      <c r="D407" s="6"/>
      <c r="E407" s="6"/>
      <c r="F407" s="8"/>
      <c r="G407" s="9"/>
      <c r="H407" s="7"/>
      <c r="I407" s="6" t="str">
        <f aca="false">IF($A407="","",IFERROR(VLOOKUP($A407,Transcodifica!$A$5:$J$400,5,FALSE()),"NON MAPPATO"))</f>
        <v/>
      </c>
      <c r="J407" s="6" t="str">
        <f aca="false">IF($A407="","",IFERROR(VLOOKUP($A407,Transcodifica!$A$5:$J$400,7,FALSE()),""))</f>
        <v/>
      </c>
      <c r="K407" s="6" t="str">
        <f aca="false">IF($A407="","",IFERROR(VLOOKUP($A407,Transcodifica!$A$5:$J$400,8,FALSE()),""))</f>
        <v/>
      </c>
      <c r="L407" s="6" t="str">
        <f aca="false">IF($A407="","",IFERROR(VLOOKUP($A407,Transcodifica!$A$5:$J$400,9,FALSE()),""))</f>
        <v/>
      </c>
      <c r="M407" s="8" t="str">
        <f aca="false">IF($A407="","",IF($E407="APPROVATO",1,IF($E407="In svolgimento",IF($F407="",0,$F407),0)))</f>
        <v/>
      </c>
      <c r="N407" s="10" t="str">
        <f aca="false">IF(OR($A407="",$I407="NON MAPPATO",$I407=""),"",$L407*$M407)</f>
        <v/>
      </c>
    </row>
    <row r="408" customFormat="false" ht="15" hidden="false" customHeight="false" outlineLevel="0" collapsed="false">
      <c r="A408" s="6"/>
      <c r="B408" s="7"/>
      <c r="C408" s="6"/>
      <c r="D408" s="6"/>
      <c r="E408" s="6"/>
      <c r="F408" s="8"/>
      <c r="G408" s="9"/>
      <c r="H408" s="7"/>
      <c r="I408" s="6" t="str">
        <f aca="false">IF($A408="","",IFERROR(VLOOKUP($A408,Transcodifica!$A$5:$J$400,5,FALSE()),"NON MAPPATO"))</f>
        <v/>
      </c>
      <c r="J408" s="6" t="str">
        <f aca="false">IF($A408="","",IFERROR(VLOOKUP($A408,Transcodifica!$A$5:$J$400,7,FALSE()),""))</f>
        <v/>
      </c>
      <c r="K408" s="6" t="str">
        <f aca="false">IF($A408="","",IFERROR(VLOOKUP($A408,Transcodifica!$A$5:$J$400,8,FALSE()),""))</f>
        <v/>
      </c>
      <c r="L408" s="6" t="str">
        <f aca="false">IF($A408="","",IFERROR(VLOOKUP($A408,Transcodifica!$A$5:$J$400,9,FALSE()),""))</f>
        <v/>
      </c>
      <c r="M408" s="8" t="str">
        <f aca="false">IF($A408="","",IF($E408="APPROVATO",1,IF($E408="In svolgimento",IF($F408="",0,$F408),0)))</f>
        <v/>
      </c>
      <c r="N408" s="10" t="str">
        <f aca="false">IF(OR($A408="",$I408="NON MAPPATO",$I408=""),"",$L408*$M408)</f>
        <v/>
      </c>
    </row>
    <row r="409" customFormat="false" ht="15" hidden="false" customHeight="false" outlineLevel="0" collapsed="false">
      <c r="A409" s="6"/>
      <c r="B409" s="7"/>
      <c r="C409" s="6"/>
      <c r="D409" s="6"/>
      <c r="E409" s="6"/>
      <c r="F409" s="8"/>
      <c r="G409" s="9"/>
      <c r="H409" s="7"/>
      <c r="I409" s="6" t="str">
        <f aca="false">IF($A409="","",IFERROR(VLOOKUP($A409,Transcodifica!$A$5:$J$400,5,FALSE()),"NON MAPPATO"))</f>
        <v/>
      </c>
      <c r="J409" s="6" t="str">
        <f aca="false">IF($A409="","",IFERROR(VLOOKUP($A409,Transcodifica!$A$5:$J$400,7,FALSE()),""))</f>
        <v/>
      </c>
      <c r="K409" s="6" t="str">
        <f aca="false">IF($A409="","",IFERROR(VLOOKUP($A409,Transcodifica!$A$5:$J$400,8,FALSE()),""))</f>
        <v/>
      </c>
      <c r="L409" s="6" t="str">
        <f aca="false">IF($A409="","",IFERROR(VLOOKUP($A409,Transcodifica!$A$5:$J$400,9,FALSE()),""))</f>
        <v/>
      </c>
      <c r="M409" s="8" t="str">
        <f aca="false">IF($A409="","",IF($E409="APPROVATO",1,IF($E409="In svolgimento",IF($F409="",0,$F409),0)))</f>
        <v/>
      </c>
      <c r="N409" s="10" t="str">
        <f aca="false">IF(OR($A409="",$I409="NON MAPPATO",$I409=""),"",$L409*$M409)</f>
        <v/>
      </c>
    </row>
    <row r="410" customFormat="false" ht="15" hidden="false" customHeight="false" outlineLevel="0" collapsed="false">
      <c r="A410" s="6"/>
      <c r="B410" s="7"/>
      <c r="C410" s="6"/>
      <c r="D410" s="6"/>
      <c r="E410" s="6"/>
      <c r="F410" s="8"/>
      <c r="G410" s="9"/>
      <c r="H410" s="7"/>
      <c r="I410" s="6" t="str">
        <f aca="false">IF($A410="","",IFERROR(VLOOKUP($A410,Transcodifica!$A$5:$J$400,5,FALSE()),"NON MAPPATO"))</f>
        <v/>
      </c>
      <c r="J410" s="6" t="str">
        <f aca="false">IF($A410="","",IFERROR(VLOOKUP($A410,Transcodifica!$A$5:$J$400,7,FALSE()),""))</f>
        <v/>
      </c>
      <c r="K410" s="6" t="str">
        <f aca="false">IF($A410="","",IFERROR(VLOOKUP($A410,Transcodifica!$A$5:$J$400,8,FALSE()),""))</f>
        <v/>
      </c>
      <c r="L410" s="6" t="str">
        <f aca="false">IF($A410="","",IFERROR(VLOOKUP($A410,Transcodifica!$A$5:$J$400,9,FALSE()),""))</f>
        <v/>
      </c>
      <c r="M410" s="8" t="str">
        <f aca="false">IF($A410="","",IF($E410="APPROVATO",1,IF($E410="In svolgimento",IF($F410="",0,$F410),0)))</f>
        <v/>
      </c>
      <c r="N410" s="10" t="str">
        <f aca="false">IF(OR($A410="",$I410="NON MAPPATO",$I410=""),"",$L410*$M410)</f>
        <v/>
      </c>
    </row>
    <row r="411" customFormat="false" ht="15" hidden="false" customHeight="false" outlineLevel="0" collapsed="false">
      <c r="A411" s="6"/>
      <c r="B411" s="7"/>
      <c r="C411" s="6"/>
      <c r="D411" s="6"/>
      <c r="E411" s="6"/>
      <c r="F411" s="8"/>
      <c r="G411" s="9"/>
      <c r="H411" s="7"/>
      <c r="I411" s="6" t="str">
        <f aca="false">IF($A411="","",IFERROR(VLOOKUP($A411,Transcodifica!$A$5:$J$400,5,FALSE()),"NON MAPPATO"))</f>
        <v/>
      </c>
      <c r="J411" s="6" t="str">
        <f aca="false">IF($A411="","",IFERROR(VLOOKUP($A411,Transcodifica!$A$5:$J$400,7,FALSE()),""))</f>
        <v/>
      </c>
      <c r="K411" s="6" t="str">
        <f aca="false">IF($A411="","",IFERROR(VLOOKUP($A411,Transcodifica!$A$5:$J$400,8,FALSE()),""))</f>
        <v/>
      </c>
      <c r="L411" s="6" t="str">
        <f aca="false">IF($A411="","",IFERROR(VLOOKUP($A411,Transcodifica!$A$5:$J$400,9,FALSE()),""))</f>
        <v/>
      </c>
      <c r="M411" s="8" t="str">
        <f aca="false">IF($A411="","",IF($E411="APPROVATO",1,IF($E411="In svolgimento",IF($F411="",0,$F411),0)))</f>
        <v/>
      </c>
      <c r="N411" s="10" t="str">
        <f aca="false">IF(OR($A411="",$I411="NON MAPPATO",$I411=""),"",$L411*$M411)</f>
        <v/>
      </c>
    </row>
    <row r="412" customFormat="false" ht="15" hidden="false" customHeight="false" outlineLevel="0" collapsed="false">
      <c r="A412" s="6"/>
      <c r="B412" s="7"/>
      <c r="C412" s="6"/>
      <c r="D412" s="6"/>
      <c r="E412" s="6"/>
      <c r="F412" s="8"/>
      <c r="G412" s="9"/>
      <c r="H412" s="7"/>
      <c r="I412" s="6" t="str">
        <f aca="false">IF($A412="","",IFERROR(VLOOKUP($A412,Transcodifica!$A$5:$J$400,5,FALSE()),"NON MAPPATO"))</f>
        <v/>
      </c>
      <c r="J412" s="6" t="str">
        <f aca="false">IF($A412="","",IFERROR(VLOOKUP($A412,Transcodifica!$A$5:$J$400,7,FALSE()),""))</f>
        <v/>
      </c>
      <c r="K412" s="6" t="str">
        <f aca="false">IF($A412="","",IFERROR(VLOOKUP($A412,Transcodifica!$A$5:$J$400,8,FALSE()),""))</f>
        <v/>
      </c>
      <c r="L412" s="6" t="str">
        <f aca="false">IF($A412="","",IFERROR(VLOOKUP($A412,Transcodifica!$A$5:$J$400,9,FALSE()),""))</f>
        <v/>
      </c>
      <c r="M412" s="8" t="str">
        <f aca="false">IF($A412="","",IF($E412="APPROVATO",1,IF($E412="In svolgimento",IF($F412="",0,$F412),0)))</f>
        <v/>
      </c>
      <c r="N412" s="10" t="str">
        <f aca="false">IF(OR($A412="",$I412="NON MAPPATO",$I412=""),"",$L412*$M412)</f>
        <v/>
      </c>
    </row>
    <row r="413" customFormat="false" ht="15" hidden="false" customHeight="false" outlineLevel="0" collapsed="false">
      <c r="A413" s="6"/>
      <c r="B413" s="7"/>
      <c r="C413" s="6"/>
      <c r="D413" s="6"/>
      <c r="E413" s="6"/>
      <c r="F413" s="8"/>
      <c r="G413" s="9"/>
      <c r="H413" s="7"/>
      <c r="I413" s="6" t="str">
        <f aca="false">IF($A413="","",IFERROR(VLOOKUP($A413,Transcodifica!$A$5:$J$400,5,FALSE()),"NON MAPPATO"))</f>
        <v/>
      </c>
      <c r="J413" s="6" t="str">
        <f aca="false">IF($A413="","",IFERROR(VLOOKUP($A413,Transcodifica!$A$5:$J$400,7,FALSE()),""))</f>
        <v/>
      </c>
      <c r="K413" s="6" t="str">
        <f aca="false">IF($A413="","",IFERROR(VLOOKUP($A413,Transcodifica!$A$5:$J$400,8,FALSE()),""))</f>
        <v/>
      </c>
      <c r="L413" s="6" t="str">
        <f aca="false">IF($A413="","",IFERROR(VLOOKUP($A413,Transcodifica!$A$5:$J$400,9,FALSE()),""))</f>
        <v/>
      </c>
      <c r="M413" s="8" t="str">
        <f aca="false">IF($A413="","",IF($E413="APPROVATO",1,IF($E413="In svolgimento",IF($F413="",0,$F413),0)))</f>
        <v/>
      </c>
      <c r="N413" s="10" t="str">
        <f aca="false">IF(OR($A413="",$I413="NON MAPPATO",$I413=""),"",$L413*$M413)</f>
        <v/>
      </c>
    </row>
    <row r="414" customFormat="false" ht="15" hidden="false" customHeight="false" outlineLevel="0" collapsed="false">
      <c r="A414" s="6"/>
      <c r="B414" s="7"/>
      <c r="C414" s="6"/>
      <c r="D414" s="6"/>
      <c r="E414" s="6"/>
      <c r="F414" s="8"/>
      <c r="G414" s="9"/>
      <c r="H414" s="7"/>
      <c r="I414" s="6" t="str">
        <f aca="false">IF($A414="","",IFERROR(VLOOKUP($A414,Transcodifica!$A$5:$J$400,5,FALSE()),"NON MAPPATO"))</f>
        <v/>
      </c>
      <c r="J414" s="6" t="str">
        <f aca="false">IF($A414="","",IFERROR(VLOOKUP($A414,Transcodifica!$A$5:$J$400,7,FALSE()),""))</f>
        <v/>
      </c>
      <c r="K414" s="6" t="str">
        <f aca="false">IF($A414="","",IFERROR(VLOOKUP($A414,Transcodifica!$A$5:$J$400,8,FALSE()),""))</f>
        <v/>
      </c>
      <c r="L414" s="6" t="str">
        <f aca="false">IF($A414="","",IFERROR(VLOOKUP($A414,Transcodifica!$A$5:$J$400,9,FALSE()),""))</f>
        <v/>
      </c>
      <c r="M414" s="8" t="str">
        <f aca="false">IF($A414="","",IF($E414="APPROVATO",1,IF($E414="In svolgimento",IF($F414="",0,$F414),0)))</f>
        <v/>
      </c>
      <c r="N414" s="10" t="str">
        <f aca="false">IF(OR($A414="",$I414="NON MAPPATO",$I414=""),"",$L414*$M414)</f>
        <v/>
      </c>
    </row>
    <row r="415" customFormat="false" ht="15" hidden="false" customHeight="false" outlineLevel="0" collapsed="false">
      <c r="A415" s="6"/>
      <c r="B415" s="7"/>
      <c r="C415" s="6"/>
      <c r="D415" s="6"/>
      <c r="E415" s="6"/>
      <c r="F415" s="8"/>
      <c r="G415" s="9"/>
      <c r="H415" s="7"/>
      <c r="I415" s="6" t="str">
        <f aca="false">IF($A415="","",IFERROR(VLOOKUP($A415,Transcodifica!$A$5:$J$400,5,FALSE()),"NON MAPPATO"))</f>
        <v/>
      </c>
      <c r="J415" s="6" t="str">
        <f aca="false">IF($A415="","",IFERROR(VLOOKUP($A415,Transcodifica!$A$5:$J$400,7,FALSE()),""))</f>
        <v/>
      </c>
      <c r="K415" s="6" t="str">
        <f aca="false">IF($A415="","",IFERROR(VLOOKUP($A415,Transcodifica!$A$5:$J$400,8,FALSE()),""))</f>
        <v/>
      </c>
      <c r="L415" s="6" t="str">
        <f aca="false">IF($A415="","",IFERROR(VLOOKUP($A415,Transcodifica!$A$5:$J$400,9,FALSE()),""))</f>
        <v/>
      </c>
      <c r="M415" s="8" t="str">
        <f aca="false">IF($A415="","",IF($E415="APPROVATO",1,IF($E415="In svolgimento",IF($F415="",0,$F415),0)))</f>
        <v/>
      </c>
      <c r="N415" s="10" t="str">
        <f aca="false">IF(OR($A415="",$I415="NON MAPPATO",$I415=""),"",$L415*$M415)</f>
        <v/>
      </c>
    </row>
    <row r="416" customFormat="false" ht="15" hidden="false" customHeight="false" outlineLevel="0" collapsed="false">
      <c r="A416" s="6"/>
      <c r="B416" s="7"/>
      <c r="C416" s="6"/>
      <c r="D416" s="6"/>
      <c r="E416" s="6"/>
      <c r="F416" s="8"/>
      <c r="G416" s="9"/>
      <c r="H416" s="7"/>
      <c r="I416" s="6" t="str">
        <f aca="false">IF($A416="","",IFERROR(VLOOKUP($A416,Transcodifica!$A$5:$J$400,5,FALSE()),"NON MAPPATO"))</f>
        <v/>
      </c>
      <c r="J416" s="6" t="str">
        <f aca="false">IF($A416="","",IFERROR(VLOOKUP($A416,Transcodifica!$A$5:$J$400,7,FALSE()),""))</f>
        <v/>
      </c>
      <c r="K416" s="6" t="str">
        <f aca="false">IF($A416="","",IFERROR(VLOOKUP($A416,Transcodifica!$A$5:$J$400,8,FALSE()),""))</f>
        <v/>
      </c>
      <c r="L416" s="6" t="str">
        <f aca="false">IF($A416="","",IFERROR(VLOOKUP($A416,Transcodifica!$A$5:$J$400,9,FALSE()),""))</f>
        <v/>
      </c>
      <c r="M416" s="8" t="str">
        <f aca="false">IF($A416="","",IF($E416="APPROVATO",1,IF($E416="In svolgimento",IF($F416="",0,$F416),0)))</f>
        <v/>
      </c>
      <c r="N416" s="10" t="str">
        <f aca="false">IF(OR($A416="",$I416="NON MAPPATO",$I416=""),"",$L416*$M416)</f>
        <v/>
      </c>
    </row>
    <row r="417" customFormat="false" ht="15" hidden="false" customHeight="false" outlineLevel="0" collapsed="false">
      <c r="A417" s="6"/>
      <c r="B417" s="7"/>
      <c r="C417" s="6"/>
      <c r="D417" s="6"/>
      <c r="E417" s="6"/>
      <c r="F417" s="8"/>
      <c r="G417" s="9"/>
      <c r="H417" s="7"/>
      <c r="I417" s="6" t="str">
        <f aca="false">IF($A417="","",IFERROR(VLOOKUP($A417,Transcodifica!$A$5:$J$400,5,FALSE()),"NON MAPPATO"))</f>
        <v/>
      </c>
      <c r="J417" s="6" t="str">
        <f aca="false">IF($A417="","",IFERROR(VLOOKUP($A417,Transcodifica!$A$5:$J$400,7,FALSE()),""))</f>
        <v/>
      </c>
      <c r="K417" s="6" t="str">
        <f aca="false">IF($A417="","",IFERROR(VLOOKUP($A417,Transcodifica!$A$5:$J$400,8,FALSE()),""))</f>
        <v/>
      </c>
      <c r="L417" s="6" t="str">
        <f aca="false">IF($A417="","",IFERROR(VLOOKUP($A417,Transcodifica!$A$5:$J$400,9,FALSE()),""))</f>
        <v/>
      </c>
      <c r="M417" s="8" t="str">
        <f aca="false">IF($A417="","",IF($E417="APPROVATO",1,IF($E417="In svolgimento",IF($F417="",0,$F417),0)))</f>
        <v/>
      </c>
      <c r="N417" s="10" t="str">
        <f aca="false">IF(OR($A417="",$I417="NON MAPPATO",$I417=""),"",$L417*$M417)</f>
        <v/>
      </c>
    </row>
    <row r="418" customFormat="false" ht="15" hidden="false" customHeight="false" outlineLevel="0" collapsed="false">
      <c r="A418" s="6"/>
      <c r="B418" s="7"/>
      <c r="C418" s="6"/>
      <c r="D418" s="6"/>
      <c r="E418" s="6"/>
      <c r="F418" s="8"/>
      <c r="G418" s="9"/>
      <c r="H418" s="7"/>
      <c r="I418" s="6" t="str">
        <f aca="false">IF($A418="","",IFERROR(VLOOKUP($A418,Transcodifica!$A$5:$J$400,5,FALSE()),"NON MAPPATO"))</f>
        <v/>
      </c>
      <c r="J418" s="6" t="str">
        <f aca="false">IF($A418="","",IFERROR(VLOOKUP($A418,Transcodifica!$A$5:$J$400,7,FALSE()),""))</f>
        <v/>
      </c>
      <c r="K418" s="6" t="str">
        <f aca="false">IF($A418="","",IFERROR(VLOOKUP($A418,Transcodifica!$A$5:$J$400,8,FALSE()),""))</f>
        <v/>
      </c>
      <c r="L418" s="6" t="str">
        <f aca="false">IF($A418="","",IFERROR(VLOOKUP($A418,Transcodifica!$A$5:$J$400,9,FALSE()),""))</f>
        <v/>
      </c>
      <c r="M418" s="8" t="str">
        <f aca="false">IF($A418="","",IF($E418="APPROVATO",1,IF($E418="In svolgimento",IF($F418="",0,$F418),0)))</f>
        <v/>
      </c>
      <c r="N418" s="10" t="str">
        <f aca="false">IF(OR($A418="",$I418="NON MAPPATO",$I418=""),"",$L418*$M418)</f>
        <v/>
      </c>
    </row>
    <row r="419" customFormat="false" ht="15" hidden="false" customHeight="false" outlineLevel="0" collapsed="false">
      <c r="A419" s="6"/>
      <c r="B419" s="7"/>
      <c r="C419" s="6"/>
      <c r="D419" s="6"/>
      <c r="E419" s="6"/>
      <c r="F419" s="8"/>
      <c r="G419" s="9"/>
      <c r="H419" s="7"/>
      <c r="I419" s="6" t="str">
        <f aca="false">IF($A419="","",IFERROR(VLOOKUP($A419,Transcodifica!$A$5:$J$400,5,FALSE()),"NON MAPPATO"))</f>
        <v/>
      </c>
      <c r="J419" s="6" t="str">
        <f aca="false">IF($A419="","",IFERROR(VLOOKUP($A419,Transcodifica!$A$5:$J$400,7,FALSE()),""))</f>
        <v/>
      </c>
      <c r="K419" s="6" t="str">
        <f aca="false">IF($A419="","",IFERROR(VLOOKUP($A419,Transcodifica!$A$5:$J$400,8,FALSE()),""))</f>
        <v/>
      </c>
      <c r="L419" s="6" t="str">
        <f aca="false">IF($A419="","",IFERROR(VLOOKUP($A419,Transcodifica!$A$5:$J$400,9,FALSE()),""))</f>
        <v/>
      </c>
      <c r="M419" s="8" t="str">
        <f aca="false">IF($A419="","",IF($E419="APPROVATO",1,IF($E419="In svolgimento",IF($F419="",0,$F419),0)))</f>
        <v/>
      </c>
      <c r="N419" s="10" t="str">
        <f aca="false">IF(OR($A419="",$I419="NON MAPPATO",$I419=""),"",$L419*$M419)</f>
        <v/>
      </c>
    </row>
    <row r="420" customFormat="false" ht="15" hidden="false" customHeight="false" outlineLevel="0" collapsed="false">
      <c r="A420" s="6"/>
      <c r="B420" s="7"/>
      <c r="C420" s="6"/>
      <c r="D420" s="6"/>
      <c r="E420" s="6"/>
      <c r="F420" s="8"/>
      <c r="G420" s="9"/>
      <c r="H420" s="7"/>
      <c r="I420" s="6" t="str">
        <f aca="false">IF($A420="","",IFERROR(VLOOKUP($A420,Transcodifica!$A$5:$J$400,5,FALSE()),"NON MAPPATO"))</f>
        <v/>
      </c>
      <c r="J420" s="6" t="str">
        <f aca="false">IF($A420="","",IFERROR(VLOOKUP($A420,Transcodifica!$A$5:$J$400,7,FALSE()),""))</f>
        <v/>
      </c>
      <c r="K420" s="6" t="str">
        <f aca="false">IF($A420="","",IFERROR(VLOOKUP($A420,Transcodifica!$A$5:$J$400,8,FALSE()),""))</f>
        <v/>
      </c>
      <c r="L420" s="6" t="str">
        <f aca="false">IF($A420="","",IFERROR(VLOOKUP($A420,Transcodifica!$A$5:$J$400,9,FALSE()),""))</f>
        <v/>
      </c>
      <c r="M420" s="8" t="str">
        <f aca="false">IF($A420="","",IF($E420="APPROVATO",1,IF($E420="In svolgimento",IF($F420="",0,$F420),0)))</f>
        <v/>
      </c>
      <c r="N420" s="10" t="str">
        <f aca="false">IF(OR($A420="",$I420="NON MAPPATO",$I420=""),"",$L420*$M420)</f>
        <v/>
      </c>
    </row>
    <row r="421" customFormat="false" ht="15" hidden="false" customHeight="false" outlineLevel="0" collapsed="false">
      <c r="A421" s="6"/>
      <c r="B421" s="7"/>
      <c r="C421" s="6"/>
      <c r="D421" s="6"/>
      <c r="E421" s="6"/>
      <c r="F421" s="8"/>
      <c r="G421" s="9"/>
      <c r="H421" s="7"/>
      <c r="I421" s="6" t="str">
        <f aca="false">IF($A421="","",IFERROR(VLOOKUP($A421,Transcodifica!$A$5:$J$400,5,FALSE()),"NON MAPPATO"))</f>
        <v/>
      </c>
      <c r="J421" s="6" t="str">
        <f aca="false">IF($A421="","",IFERROR(VLOOKUP($A421,Transcodifica!$A$5:$J$400,7,FALSE()),""))</f>
        <v/>
      </c>
      <c r="K421" s="6" t="str">
        <f aca="false">IF($A421="","",IFERROR(VLOOKUP($A421,Transcodifica!$A$5:$J$400,8,FALSE()),""))</f>
        <v/>
      </c>
      <c r="L421" s="6" t="str">
        <f aca="false">IF($A421="","",IFERROR(VLOOKUP($A421,Transcodifica!$A$5:$J$400,9,FALSE()),""))</f>
        <v/>
      </c>
      <c r="M421" s="8" t="str">
        <f aca="false">IF($A421="","",IF($E421="APPROVATO",1,IF($E421="In svolgimento",IF($F421="",0,$F421),0)))</f>
        <v/>
      </c>
      <c r="N421" s="10" t="str">
        <f aca="false">IF(OR($A421="",$I421="NON MAPPATO",$I421=""),"",$L421*$M421)</f>
        <v/>
      </c>
    </row>
    <row r="422" customFormat="false" ht="15" hidden="false" customHeight="false" outlineLevel="0" collapsed="false">
      <c r="A422" s="6"/>
      <c r="B422" s="7"/>
      <c r="C422" s="6"/>
      <c r="D422" s="6"/>
      <c r="E422" s="6"/>
      <c r="F422" s="8"/>
      <c r="G422" s="9"/>
      <c r="H422" s="7"/>
      <c r="I422" s="6" t="str">
        <f aca="false">IF($A422="","",IFERROR(VLOOKUP($A422,Transcodifica!$A$5:$J$400,5,FALSE()),"NON MAPPATO"))</f>
        <v/>
      </c>
      <c r="J422" s="6" t="str">
        <f aca="false">IF($A422="","",IFERROR(VLOOKUP($A422,Transcodifica!$A$5:$J$400,7,FALSE()),""))</f>
        <v/>
      </c>
      <c r="K422" s="6" t="str">
        <f aca="false">IF($A422="","",IFERROR(VLOOKUP($A422,Transcodifica!$A$5:$J$400,8,FALSE()),""))</f>
        <v/>
      </c>
      <c r="L422" s="6" t="str">
        <f aca="false">IF($A422="","",IFERROR(VLOOKUP($A422,Transcodifica!$A$5:$J$400,9,FALSE()),""))</f>
        <v/>
      </c>
      <c r="M422" s="8" t="str">
        <f aca="false">IF($A422="","",IF($E422="APPROVATO",1,IF($E422="In svolgimento",IF($F422="",0,$F422),0)))</f>
        <v/>
      </c>
      <c r="N422" s="10" t="str">
        <f aca="false">IF(OR($A422="",$I422="NON MAPPATO",$I422=""),"",$L422*$M422)</f>
        <v/>
      </c>
    </row>
    <row r="423" customFormat="false" ht="15" hidden="false" customHeight="false" outlineLevel="0" collapsed="false">
      <c r="A423" s="6"/>
      <c r="B423" s="7"/>
      <c r="C423" s="6"/>
      <c r="D423" s="6"/>
      <c r="E423" s="6"/>
      <c r="F423" s="8"/>
      <c r="G423" s="9"/>
      <c r="H423" s="7"/>
      <c r="I423" s="6" t="str">
        <f aca="false">IF($A423="","",IFERROR(VLOOKUP($A423,Transcodifica!$A$5:$J$400,5,FALSE()),"NON MAPPATO"))</f>
        <v/>
      </c>
      <c r="J423" s="6" t="str">
        <f aca="false">IF($A423="","",IFERROR(VLOOKUP($A423,Transcodifica!$A$5:$J$400,7,FALSE()),""))</f>
        <v/>
      </c>
      <c r="K423" s="6" t="str">
        <f aca="false">IF($A423="","",IFERROR(VLOOKUP($A423,Transcodifica!$A$5:$J$400,8,FALSE()),""))</f>
        <v/>
      </c>
      <c r="L423" s="6" t="str">
        <f aca="false">IF($A423="","",IFERROR(VLOOKUP($A423,Transcodifica!$A$5:$J$400,9,FALSE()),""))</f>
        <v/>
      </c>
      <c r="M423" s="8" t="str">
        <f aca="false">IF($A423="","",IF($E423="APPROVATO",1,IF($E423="In svolgimento",IF($F423="",0,$F423),0)))</f>
        <v/>
      </c>
      <c r="N423" s="10" t="str">
        <f aca="false">IF(OR($A423="",$I423="NON MAPPATO",$I423=""),"",$L423*$M423)</f>
        <v/>
      </c>
    </row>
    <row r="424" customFormat="false" ht="15" hidden="false" customHeight="false" outlineLevel="0" collapsed="false">
      <c r="A424" s="6"/>
      <c r="B424" s="7"/>
      <c r="C424" s="6"/>
      <c r="D424" s="6"/>
      <c r="E424" s="6"/>
      <c r="F424" s="8"/>
      <c r="G424" s="9"/>
      <c r="H424" s="7"/>
      <c r="I424" s="6" t="str">
        <f aca="false">IF($A424="","",IFERROR(VLOOKUP($A424,Transcodifica!$A$5:$J$400,5,FALSE()),"NON MAPPATO"))</f>
        <v/>
      </c>
      <c r="J424" s="6" t="str">
        <f aca="false">IF($A424="","",IFERROR(VLOOKUP($A424,Transcodifica!$A$5:$J$400,7,FALSE()),""))</f>
        <v/>
      </c>
      <c r="K424" s="6" t="str">
        <f aca="false">IF($A424="","",IFERROR(VLOOKUP($A424,Transcodifica!$A$5:$J$400,8,FALSE()),""))</f>
        <v/>
      </c>
      <c r="L424" s="6" t="str">
        <f aca="false">IF($A424="","",IFERROR(VLOOKUP($A424,Transcodifica!$A$5:$J$400,9,FALSE()),""))</f>
        <v/>
      </c>
      <c r="M424" s="8" t="str">
        <f aca="false">IF($A424="","",IF($E424="APPROVATO",1,IF($E424="In svolgimento",IF($F424="",0,$F424),0)))</f>
        <v/>
      </c>
      <c r="N424" s="10" t="str">
        <f aca="false">IF(OR($A424="",$I424="NON MAPPATO",$I424=""),"",$L424*$M424)</f>
        <v/>
      </c>
    </row>
    <row r="425" customFormat="false" ht="15" hidden="false" customHeight="false" outlineLevel="0" collapsed="false">
      <c r="A425" s="6"/>
      <c r="B425" s="7"/>
      <c r="C425" s="6"/>
      <c r="D425" s="6"/>
      <c r="E425" s="6"/>
      <c r="F425" s="8"/>
      <c r="G425" s="9"/>
      <c r="H425" s="7"/>
      <c r="I425" s="6" t="str">
        <f aca="false">IF($A425="","",IFERROR(VLOOKUP($A425,Transcodifica!$A$5:$J$400,5,FALSE()),"NON MAPPATO"))</f>
        <v/>
      </c>
      <c r="J425" s="6" t="str">
        <f aca="false">IF($A425="","",IFERROR(VLOOKUP($A425,Transcodifica!$A$5:$J$400,7,FALSE()),""))</f>
        <v/>
      </c>
      <c r="K425" s="6" t="str">
        <f aca="false">IF($A425="","",IFERROR(VLOOKUP($A425,Transcodifica!$A$5:$J$400,8,FALSE()),""))</f>
        <v/>
      </c>
      <c r="L425" s="6" t="str">
        <f aca="false">IF($A425="","",IFERROR(VLOOKUP($A425,Transcodifica!$A$5:$J$400,9,FALSE()),""))</f>
        <v/>
      </c>
      <c r="M425" s="8" t="str">
        <f aca="false">IF($A425="","",IF($E425="APPROVATO",1,IF($E425="In svolgimento",IF($F425="",0,$F425),0)))</f>
        <v/>
      </c>
      <c r="N425" s="10" t="str">
        <f aca="false">IF(OR($A425="",$I425="NON MAPPATO",$I425=""),"",$L425*$M425)</f>
        <v/>
      </c>
    </row>
    <row r="426" customFormat="false" ht="15" hidden="false" customHeight="false" outlineLevel="0" collapsed="false">
      <c r="A426" s="6"/>
      <c r="B426" s="7"/>
      <c r="C426" s="6"/>
      <c r="D426" s="6"/>
      <c r="E426" s="6"/>
      <c r="F426" s="8"/>
      <c r="G426" s="9"/>
      <c r="H426" s="7"/>
      <c r="I426" s="6" t="str">
        <f aca="false">IF($A426="","",IFERROR(VLOOKUP($A426,Transcodifica!$A$5:$J$400,5,FALSE()),"NON MAPPATO"))</f>
        <v/>
      </c>
      <c r="J426" s="6" t="str">
        <f aca="false">IF($A426="","",IFERROR(VLOOKUP($A426,Transcodifica!$A$5:$J$400,7,FALSE()),""))</f>
        <v/>
      </c>
      <c r="K426" s="6" t="str">
        <f aca="false">IF($A426="","",IFERROR(VLOOKUP($A426,Transcodifica!$A$5:$J$400,8,FALSE()),""))</f>
        <v/>
      </c>
      <c r="L426" s="6" t="str">
        <f aca="false">IF($A426="","",IFERROR(VLOOKUP($A426,Transcodifica!$A$5:$J$400,9,FALSE()),""))</f>
        <v/>
      </c>
      <c r="M426" s="8" t="str">
        <f aca="false">IF($A426="","",IF($E426="APPROVATO",1,IF($E426="In svolgimento",IF($F426="",0,$F426),0)))</f>
        <v/>
      </c>
      <c r="N426" s="10" t="str">
        <f aca="false">IF(OR($A426="",$I426="NON MAPPATO",$I426=""),"",$L426*$M426)</f>
        <v/>
      </c>
    </row>
    <row r="427" customFormat="false" ht="15" hidden="false" customHeight="false" outlineLevel="0" collapsed="false">
      <c r="A427" s="6"/>
      <c r="B427" s="7"/>
      <c r="C427" s="6"/>
      <c r="D427" s="6"/>
      <c r="E427" s="6"/>
      <c r="F427" s="8"/>
      <c r="G427" s="9"/>
      <c r="H427" s="7"/>
      <c r="I427" s="6" t="str">
        <f aca="false">IF($A427="","",IFERROR(VLOOKUP($A427,Transcodifica!$A$5:$J$400,5,FALSE()),"NON MAPPATO"))</f>
        <v/>
      </c>
      <c r="J427" s="6" t="str">
        <f aca="false">IF($A427="","",IFERROR(VLOOKUP($A427,Transcodifica!$A$5:$J$400,7,FALSE()),""))</f>
        <v/>
      </c>
      <c r="K427" s="6" t="str">
        <f aca="false">IF($A427="","",IFERROR(VLOOKUP($A427,Transcodifica!$A$5:$J$400,8,FALSE()),""))</f>
        <v/>
      </c>
      <c r="L427" s="6" t="str">
        <f aca="false">IF($A427="","",IFERROR(VLOOKUP($A427,Transcodifica!$A$5:$J$400,9,FALSE()),""))</f>
        <v/>
      </c>
      <c r="M427" s="8" t="str">
        <f aca="false">IF($A427="","",IF($E427="APPROVATO",1,IF($E427="In svolgimento",IF($F427="",0,$F427),0)))</f>
        <v/>
      </c>
      <c r="N427" s="10" t="str">
        <f aca="false">IF(OR($A427="",$I427="NON MAPPATO",$I427=""),"",$L427*$M427)</f>
        <v/>
      </c>
    </row>
    <row r="428" customFormat="false" ht="15" hidden="false" customHeight="false" outlineLevel="0" collapsed="false">
      <c r="A428" s="6"/>
      <c r="B428" s="7"/>
      <c r="C428" s="6"/>
      <c r="D428" s="6"/>
      <c r="E428" s="6"/>
      <c r="F428" s="8"/>
      <c r="G428" s="9"/>
      <c r="H428" s="7"/>
      <c r="I428" s="6" t="str">
        <f aca="false">IF($A428="","",IFERROR(VLOOKUP($A428,Transcodifica!$A$5:$J$400,5,FALSE()),"NON MAPPATO"))</f>
        <v/>
      </c>
      <c r="J428" s="6" t="str">
        <f aca="false">IF($A428="","",IFERROR(VLOOKUP($A428,Transcodifica!$A$5:$J$400,7,FALSE()),""))</f>
        <v/>
      </c>
      <c r="K428" s="6" t="str">
        <f aca="false">IF($A428="","",IFERROR(VLOOKUP($A428,Transcodifica!$A$5:$J$400,8,FALSE()),""))</f>
        <v/>
      </c>
      <c r="L428" s="6" t="str">
        <f aca="false">IF($A428="","",IFERROR(VLOOKUP($A428,Transcodifica!$A$5:$J$400,9,FALSE()),""))</f>
        <v/>
      </c>
      <c r="M428" s="8" t="str">
        <f aca="false">IF($A428="","",IF($E428="APPROVATO",1,IF($E428="In svolgimento",IF($F428="",0,$F428),0)))</f>
        <v/>
      </c>
      <c r="N428" s="10" t="str">
        <f aca="false">IF(OR($A428="",$I428="NON MAPPATO",$I428=""),"",$L428*$M428)</f>
        <v/>
      </c>
    </row>
    <row r="429" customFormat="false" ht="15" hidden="false" customHeight="false" outlineLevel="0" collapsed="false">
      <c r="A429" s="6"/>
      <c r="B429" s="7"/>
      <c r="C429" s="6"/>
      <c r="D429" s="6"/>
      <c r="E429" s="6"/>
      <c r="F429" s="8"/>
      <c r="G429" s="9"/>
      <c r="H429" s="7"/>
      <c r="I429" s="6" t="str">
        <f aca="false">IF($A429="","",IFERROR(VLOOKUP($A429,Transcodifica!$A$5:$J$400,5,FALSE()),"NON MAPPATO"))</f>
        <v/>
      </c>
      <c r="J429" s="6" t="str">
        <f aca="false">IF($A429="","",IFERROR(VLOOKUP($A429,Transcodifica!$A$5:$J$400,7,FALSE()),""))</f>
        <v/>
      </c>
      <c r="K429" s="6" t="str">
        <f aca="false">IF($A429="","",IFERROR(VLOOKUP($A429,Transcodifica!$A$5:$J$400,8,FALSE()),""))</f>
        <v/>
      </c>
      <c r="L429" s="6" t="str">
        <f aca="false">IF($A429="","",IFERROR(VLOOKUP($A429,Transcodifica!$A$5:$J$400,9,FALSE()),""))</f>
        <v/>
      </c>
      <c r="M429" s="8" t="str">
        <f aca="false">IF($A429="","",IF($E429="APPROVATO",1,IF($E429="In svolgimento",IF($F429="",0,$F429),0)))</f>
        <v/>
      </c>
      <c r="N429" s="10" t="str">
        <f aca="false">IF(OR($A429="",$I429="NON MAPPATO",$I429=""),"",$L429*$M429)</f>
        <v/>
      </c>
    </row>
    <row r="430" customFormat="false" ht="15" hidden="false" customHeight="false" outlineLevel="0" collapsed="false">
      <c r="A430" s="6"/>
      <c r="B430" s="7"/>
      <c r="C430" s="6"/>
      <c r="D430" s="6"/>
      <c r="E430" s="6"/>
      <c r="F430" s="8"/>
      <c r="G430" s="9"/>
      <c r="H430" s="7"/>
      <c r="I430" s="6" t="str">
        <f aca="false">IF($A430="","",IFERROR(VLOOKUP($A430,Transcodifica!$A$5:$J$400,5,FALSE()),"NON MAPPATO"))</f>
        <v/>
      </c>
      <c r="J430" s="6" t="str">
        <f aca="false">IF($A430="","",IFERROR(VLOOKUP($A430,Transcodifica!$A$5:$J$400,7,FALSE()),""))</f>
        <v/>
      </c>
      <c r="K430" s="6" t="str">
        <f aca="false">IF($A430="","",IFERROR(VLOOKUP($A430,Transcodifica!$A$5:$J$400,8,FALSE()),""))</f>
        <v/>
      </c>
      <c r="L430" s="6" t="str">
        <f aca="false">IF($A430="","",IFERROR(VLOOKUP($A430,Transcodifica!$A$5:$J$400,9,FALSE()),""))</f>
        <v/>
      </c>
      <c r="M430" s="8" t="str">
        <f aca="false">IF($A430="","",IF($E430="APPROVATO",1,IF($E430="In svolgimento",IF($F430="",0,$F430),0)))</f>
        <v/>
      </c>
      <c r="N430" s="10" t="str">
        <f aca="false">IF(OR($A430="",$I430="NON MAPPATO",$I430=""),"",$L430*$M430)</f>
        <v/>
      </c>
    </row>
    <row r="431" customFormat="false" ht="15" hidden="false" customHeight="false" outlineLevel="0" collapsed="false">
      <c r="A431" s="6"/>
      <c r="B431" s="7"/>
      <c r="C431" s="6"/>
      <c r="D431" s="6"/>
      <c r="E431" s="6"/>
      <c r="F431" s="8"/>
      <c r="G431" s="9"/>
      <c r="H431" s="7"/>
      <c r="I431" s="6" t="str">
        <f aca="false">IF($A431="","",IFERROR(VLOOKUP($A431,Transcodifica!$A$5:$J$400,5,FALSE()),"NON MAPPATO"))</f>
        <v/>
      </c>
      <c r="J431" s="6" t="str">
        <f aca="false">IF($A431="","",IFERROR(VLOOKUP($A431,Transcodifica!$A$5:$J$400,7,FALSE()),""))</f>
        <v/>
      </c>
      <c r="K431" s="6" t="str">
        <f aca="false">IF($A431="","",IFERROR(VLOOKUP($A431,Transcodifica!$A$5:$J$400,8,FALSE()),""))</f>
        <v/>
      </c>
      <c r="L431" s="6" t="str">
        <f aca="false">IF($A431="","",IFERROR(VLOOKUP($A431,Transcodifica!$A$5:$J$400,9,FALSE()),""))</f>
        <v/>
      </c>
      <c r="M431" s="8" t="str">
        <f aca="false">IF($A431="","",IF($E431="APPROVATO",1,IF($E431="In svolgimento",IF($F431="",0,$F431),0)))</f>
        <v/>
      </c>
      <c r="N431" s="10" t="str">
        <f aca="false">IF(OR($A431="",$I431="NON MAPPATO",$I431=""),"",$L431*$M431)</f>
        <v/>
      </c>
    </row>
    <row r="432" customFormat="false" ht="15" hidden="false" customHeight="false" outlineLevel="0" collapsed="false">
      <c r="A432" s="6"/>
      <c r="B432" s="7"/>
      <c r="C432" s="6"/>
      <c r="D432" s="6"/>
      <c r="E432" s="6"/>
      <c r="F432" s="8"/>
      <c r="G432" s="9"/>
      <c r="H432" s="7"/>
      <c r="I432" s="6" t="str">
        <f aca="false">IF($A432="","",IFERROR(VLOOKUP($A432,Transcodifica!$A$5:$J$400,5,FALSE()),"NON MAPPATO"))</f>
        <v/>
      </c>
      <c r="J432" s="6" t="str">
        <f aca="false">IF($A432="","",IFERROR(VLOOKUP($A432,Transcodifica!$A$5:$J$400,7,FALSE()),""))</f>
        <v/>
      </c>
      <c r="K432" s="6" t="str">
        <f aca="false">IF($A432="","",IFERROR(VLOOKUP($A432,Transcodifica!$A$5:$J$400,8,FALSE()),""))</f>
        <v/>
      </c>
      <c r="L432" s="6" t="str">
        <f aca="false">IF($A432="","",IFERROR(VLOOKUP($A432,Transcodifica!$A$5:$J$400,9,FALSE()),""))</f>
        <v/>
      </c>
      <c r="M432" s="8" t="str">
        <f aca="false">IF($A432="","",IF($E432="APPROVATO",1,IF($E432="In svolgimento",IF($F432="",0,$F432),0)))</f>
        <v/>
      </c>
      <c r="N432" s="10" t="str">
        <f aca="false">IF(OR($A432="",$I432="NON MAPPATO",$I432=""),"",$L432*$M432)</f>
        <v/>
      </c>
    </row>
    <row r="433" customFormat="false" ht="15" hidden="false" customHeight="false" outlineLevel="0" collapsed="false">
      <c r="A433" s="6"/>
      <c r="B433" s="7"/>
      <c r="C433" s="6"/>
      <c r="D433" s="6"/>
      <c r="E433" s="6"/>
      <c r="F433" s="8"/>
      <c r="G433" s="9"/>
      <c r="H433" s="7"/>
      <c r="I433" s="6" t="str">
        <f aca="false">IF($A433="","",IFERROR(VLOOKUP($A433,Transcodifica!$A$5:$J$400,5,FALSE()),"NON MAPPATO"))</f>
        <v/>
      </c>
      <c r="J433" s="6" t="str">
        <f aca="false">IF($A433="","",IFERROR(VLOOKUP($A433,Transcodifica!$A$5:$J$400,7,FALSE()),""))</f>
        <v/>
      </c>
      <c r="K433" s="6" t="str">
        <f aca="false">IF($A433="","",IFERROR(VLOOKUP($A433,Transcodifica!$A$5:$J$400,8,FALSE()),""))</f>
        <v/>
      </c>
      <c r="L433" s="6" t="str">
        <f aca="false">IF($A433="","",IFERROR(VLOOKUP($A433,Transcodifica!$A$5:$J$400,9,FALSE()),""))</f>
        <v/>
      </c>
      <c r="M433" s="8" t="str">
        <f aca="false">IF($A433="","",IF($E433="APPROVATO",1,IF($E433="In svolgimento",IF($F433="",0,$F433),0)))</f>
        <v/>
      </c>
      <c r="N433" s="10" t="str">
        <f aca="false">IF(OR($A433="",$I433="NON MAPPATO",$I433=""),"",$L433*$M433)</f>
        <v/>
      </c>
    </row>
    <row r="434" customFormat="false" ht="15" hidden="false" customHeight="false" outlineLevel="0" collapsed="false">
      <c r="A434" s="6"/>
      <c r="B434" s="7"/>
      <c r="C434" s="6"/>
      <c r="D434" s="6"/>
      <c r="E434" s="6"/>
      <c r="F434" s="8"/>
      <c r="G434" s="9"/>
      <c r="H434" s="7"/>
      <c r="I434" s="6" t="str">
        <f aca="false">IF($A434="","",IFERROR(VLOOKUP($A434,Transcodifica!$A$5:$J$400,5,FALSE()),"NON MAPPATO"))</f>
        <v/>
      </c>
      <c r="J434" s="6" t="str">
        <f aca="false">IF($A434="","",IFERROR(VLOOKUP($A434,Transcodifica!$A$5:$J$400,7,FALSE()),""))</f>
        <v/>
      </c>
      <c r="K434" s="6" t="str">
        <f aca="false">IF($A434="","",IFERROR(VLOOKUP($A434,Transcodifica!$A$5:$J$400,8,FALSE()),""))</f>
        <v/>
      </c>
      <c r="L434" s="6" t="str">
        <f aca="false">IF($A434="","",IFERROR(VLOOKUP($A434,Transcodifica!$A$5:$J$400,9,FALSE()),""))</f>
        <v/>
      </c>
      <c r="M434" s="8" t="str">
        <f aca="false">IF($A434="","",IF($E434="APPROVATO",1,IF($E434="In svolgimento",IF($F434="",0,$F434),0)))</f>
        <v/>
      </c>
      <c r="N434" s="10" t="str">
        <f aca="false">IF(OR($A434="",$I434="NON MAPPATO",$I434=""),"",$L434*$M434)</f>
        <v/>
      </c>
    </row>
    <row r="435" customFormat="false" ht="15" hidden="false" customHeight="false" outlineLevel="0" collapsed="false">
      <c r="A435" s="6"/>
      <c r="B435" s="7"/>
      <c r="C435" s="6"/>
      <c r="D435" s="6"/>
      <c r="E435" s="6"/>
      <c r="F435" s="8"/>
      <c r="G435" s="9"/>
      <c r="H435" s="7"/>
      <c r="I435" s="6" t="str">
        <f aca="false">IF($A435="","",IFERROR(VLOOKUP($A435,Transcodifica!$A$5:$J$400,5,FALSE()),"NON MAPPATO"))</f>
        <v/>
      </c>
      <c r="J435" s="6" t="str">
        <f aca="false">IF($A435="","",IFERROR(VLOOKUP($A435,Transcodifica!$A$5:$J$400,7,FALSE()),""))</f>
        <v/>
      </c>
      <c r="K435" s="6" t="str">
        <f aca="false">IF($A435="","",IFERROR(VLOOKUP($A435,Transcodifica!$A$5:$J$400,8,FALSE()),""))</f>
        <v/>
      </c>
      <c r="L435" s="6" t="str">
        <f aca="false">IF($A435="","",IFERROR(VLOOKUP($A435,Transcodifica!$A$5:$J$400,9,FALSE()),""))</f>
        <v/>
      </c>
      <c r="M435" s="8" t="str">
        <f aca="false">IF($A435="","",IF($E435="APPROVATO",1,IF($E435="In svolgimento",IF($F435="",0,$F435),0)))</f>
        <v/>
      </c>
      <c r="N435" s="10" t="str">
        <f aca="false">IF(OR($A435="",$I435="NON MAPPATO",$I435=""),"",$L435*$M435)</f>
        <v/>
      </c>
    </row>
    <row r="436" customFormat="false" ht="15" hidden="false" customHeight="false" outlineLevel="0" collapsed="false">
      <c r="A436" s="6"/>
      <c r="B436" s="7"/>
      <c r="C436" s="6"/>
      <c r="D436" s="6"/>
      <c r="E436" s="6"/>
      <c r="F436" s="8"/>
      <c r="G436" s="9"/>
      <c r="H436" s="7"/>
      <c r="I436" s="6" t="str">
        <f aca="false">IF($A436="","",IFERROR(VLOOKUP($A436,Transcodifica!$A$5:$J$400,5,FALSE()),"NON MAPPATO"))</f>
        <v/>
      </c>
      <c r="J436" s="6" t="str">
        <f aca="false">IF($A436="","",IFERROR(VLOOKUP($A436,Transcodifica!$A$5:$J$400,7,FALSE()),""))</f>
        <v/>
      </c>
      <c r="K436" s="6" t="str">
        <f aca="false">IF($A436="","",IFERROR(VLOOKUP($A436,Transcodifica!$A$5:$J$400,8,FALSE()),""))</f>
        <v/>
      </c>
      <c r="L436" s="6" t="str">
        <f aca="false">IF($A436="","",IFERROR(VLOOKUP($A436,Transcodifica!$A$5:$J$400,9,FALSE()),""))</f>
        <v/>
      </c>
      <c r="M436" s="8" t="str">
        <f aca="false">IF($A436="","",IF($E436="APPROVATO",1,IF($E436="In svolgimento",IF($F436="",0,$F436),0)))</f>
        <v/>
      </c>
      <c r="N436" s="10" t="str">
        <f aca="false">IF(OR($A436="",$I436="NON MAPPATO",$I436=""),"",$L436*$M436)</f>
        <v/>
      </c>
    </row>
    <row r="437" customFormat="false" ht="15" hidden="false" customHeight="false" outlineLevel="0" collapsed="false">
      <c r="A437" s="6"/>
      <c r="B437" s="7"/>
      <c r="C437" s="6"/>
      <c r="D437" s="6"/>
      <c r="E437" s="6"/>
      <c r="F437" s="8"/>
      <c r="G437" s="9"/>
      <c r="H437" s="7"/>
      <c r="I437" s="6" t="str">
        <f aca="false">IF($A437="","",IFERROR(VLOOKUP($A437,Transcodifica!$A$5:$J$400,5,FALSE()),"NON MAPPATO"))</f>
        <v/>
      </c>
      <c r="J437" s="6" t="str">
        <f aca="false">IF($A437="","",IFERROR(VLOOKUP($A437,Transcodifica!$A$5:$J$400,7,FALSE()),""))</f>
        <v/>
      </c>
      <c r="K437" s="6" t="str">
        <f aca="false">IF($A437="","",IFERROR(VLOOKUP($A437,Transcodifica!$A$5:$J$400,8,FALSE()),""))</f>
        <v/>
      </c>
      <c r="L437" s="6" t="str">
        <f aca="false">IF($A437="","",IFERROR(VLOOKUP($A437,Transcodifica!$A$5:$J$400,9,FALSE()),""))</f>
        <v/>
      </c>
      <c r="M437" s="8" t="str">
        <f aca="false">IF($A437="","",IF($E437="APPROVATO",1,IF($E437="In svolgimento",IF($F437="",0,$F437),0)))</f>
        <v/>
      </c>
      <c r="N437" s="10" t="str">
        <f aca="false">IF(OR($A437="",$I437="NON MAPPATO",$I437=""),"",$L437*$M437)</f>
        <v/>
      </c>
    </row>
    <row r="438" customFormat="false" ht="15" hidden="false" customHeight="false" outlineLevel="0" collapsed="false">
      <c r="A438" s="6"/>
      <c r="B438" s="7"/>
      <c r="C438" s="6"/>
      <c r="D438" s="6"/>
      <c r="E438" s="6"/>
      <c r="F438" s="8"/>
      <c r="G438" s="9"/>
      <c r="H438" s="7"/>
      <c r="I438" s="6" t="str">
        <f aca="false">IF($A438="","",IFERROR(VLOOKUP($A438,Transcodifica!$A$5:$J$400,5,FALSE()),"NON MAPPATO"))</f>
        <v/>
      </c>
      <c r="J438" s="6" t="str">
        <f aca="false">IF($A438="","",IFERROR(VLOOKUP($A438,Transcodifica!$A$5:$J$400,7,FALSE()),""))</f>
        <v/>
      </c>
      <c r="K438" s="6" t="str">
        <f aca="false">IF($A438="","",IFERROR(VLOOKUP($A438,Transcodifica!$A$5:$J$400,8,FALSE()),""))</f>
        <v/>
      </c>
      <c r="L438" s="6" t="str">
        <f aca="false">IF($A438="","",IFERROR(VLOOKUP($A438,Transcodifica!$A$5:$J$400,9,FALSE()),""))</f>
        <v/>
      </c>
      <c r="M438" s="8" t="str">
        <f aca="false">IF($A438="","",IF($E438="APPROVATO",1,IF($E438="In svolgimento",IF($F438="",0,$F438),0)))</f>
        <v/>
      </c>
      <c r="N438" s="10" t="str">
        <f aca="false">IF(OR($A438="",$I438="NON MAPPATO",$I438=""),"",$L438*$M438)</f>
        <v/>
      </c>
    </row>
    <row r="439" customFormat="false" ht="15" hidden="false" customHeight="false" outlineLevel="0" collapsed="false">
      <c r="A439" s="6"/>
      <c r="B439" s="7"/>
      <c r="C439" s="6"/>
      <c r="D439" s="6"/>
      <c r="E439" s="6"/>
      <c r="F439" s="8"/>
      <c r="G439" s="9"/>
      <c r="H439" s="7"/>
      <c r="I439" s="6" t="str">
        <f aca="false">IF($A439="","",IFERROR(VLOOKUP($A439,Transcodifica!$A$5:$J$400,5,FALSE()),"NON MAPPATO"))</f>
        <v/>
      </c>
      <c r="J439" s="6" t="str">
        <f aca="false">IF($A439="","",IFERROR(VLOOKUP($A439,Transcodifica!$A$5:$J$400,7,FALSE()),""))</f>
        <v/>
      </c>
      <c r="K439" s="6" t="str">
        <f aca="false">IF($A439="","",IFERROR(VLOOKUP($A439,Transcodifica!$A$5:$J$400,8,FALSE()),""))</f>
        <v/>
      </c>
      <c r="L439" s="6" t="str">
        <f aca="false">IF($A439="","",IFERROR(VLOOKUP($A439,Transcodifica!$A$5:$J$400,9,FALSE()),""))</f>
        <v/>
      </c>
      <c r="M439" s="8" t="str">
        <f aca="false">IF($A439="","",IF($E439="APPROVATO",1,IF($E439="In svolgimento",IF($F439="",0,$F439),0)))</f>
        <v/>
      </c>
      <c r="N439" s="10" t="str">
        <f aca="false">IF(OR($A439="",$I439="NON MAPPATO",$I439=""),"",$L439*$M439)</f>
        <v/>
      </c>
    </row>
    <row r="440" customFormat="false" ht="15" hidden="false" customHeight="false" outlineLevel="0" collapsed="false">
      <c r="A440" s="6"/>
      <c r="B440" s="7"/>
      <c r="C440" s="6"/>
      <c r="D440" s="6"/>
      <c r="E440" s="6"/>
      <c r="F440" s="8"/>
      <c r="G440" s="9"/>
      <c r="H440" s="7"/>
      <c r="I440" s="6" t="str">
        <f aca="false">IF($A440="","",IFERROR(VLOOKUP($A440,Transcodifica!$A$5:$J$400,5,FALSE()),"NON MAPPATO"))</f>
        <v/>
      </c>
      <c r="J440" s="6" t="str">
        <f aca="false">IF($A440="","",IFERROR(VLOOKUP($A440,Transcodifica!$A$5:$J$400,7,FALSE()),""))</f>
        <v/>
      </c>
      <c r="K440" s="6" t="str">
        <f aca="false">IF($A440="","",IFERROR(VLOOKUP($A440,Transcodifica!$A$5:$J$400,8,FALSE()),""))</f>
        <v/>
      </c>
      <c r="L440" s="6" t="str">
        <f aca="false">IF($A440="","",IFERROR(VLOOKUP($A440,Transcodifica!$A$5:$J$400,9,FALSE()),""))</f>
        <v/>
      </c>
      <c r="M440" s="8" t="str">
        <f aca="false">IF($A440="","",IF($E440="APPROVATO",1,IF($E440="In svolgimento",IF($F440="",0,$F440),0)))</f>
        <v/>
      </c>
      <c r="N440" s="10" t="str">
        <f aca="false">IF(OR($A440="",$I440="NON MAPPATO",$I440=""),"",$L440*$M440)</f>
        <v/>
      </c>
    </row>
    <row r="441" customFormat="false" ht="15" hidden="false" customHeight="false" outlineLevel="0" collapsed="false">
      <c r="A441" s="6"/>
      <c r="B441" s="7"/>
      <c r="C441" s="6"/>
      <c r="D441" s="6"/>
      <c r="E441" s="6"/>
      <c r="F441" s="8"/>
      <c r="G441" s="9"/>
      <c r="H441" s="7"/>
      <c r="I441" s="6" t="str">
        <f aca="false">IF($A441="","",IFERROR(VLOOKUP($A441,Transcodifica!$A$5:$J$400,5,FALSE()),"NON MAPPATO"))</f>
        <v/>
      </c>
      <c r="J441" s="6" t="str">
        <f aca="false">IF($A441="","",IFERROR(VLOOKUP($A441,Transcodifica!$A$5:$J$400,7,FALSE()),""))</f>
        <v/>
      </c>
      <c r="K441" s="6" t="str">
        <f aca="false">IF($A441="","",IFERROR(VLOOKUP($A441,Transcodifica!$A$5:$J$400,8,FALSE()),""))</f>
        <v/>
      </c>
      <c r="L441" s="6" t="str">
        <f aca="false">IF($A441="","",IFERROR(VLOOKUP($A441,Transcodifica!$A$5:$J$400,9,FALSE()),""))</f>
        <v/>
      </c>
      <c r="M441" s="8" t="str">
        <f aca="false">IF($A441="","",IF($E441="APPROVATO",1,IF($E441="In svolgimento",IF($F441="",0,$F441),0)))</f>
        <v/>
      </c>
      <c r="N441" s="10" t="str">
        <f aca="false">IF(OR($A441="",$I441="NON MAPPATO",$I441=""),"",$L441*$M441)</f>
        <v/>
      </c>
    </row>
    <row r="442" customFormat="false" ht="15" hidden="false" customHeight="false" outlineLevel="0" collapsed="false">
      <c r="A442" s="6"/>
      <c r="B442" s="7"/>
      <c r="C442" s="6"/>
      <c r="D442" s="6"/>
      <c r="E442" s="6"/>
      <c r="F442" s="8"/>
      <c r="G442" s="9"/>
      <c r="H442" s="7"/>
      <c r="I442" s="6" t="str">
        <f aca="false">IF($A442="","",IFERROR(VLOOKUP($A442,Transcodifica!$A$5:$J$400,5,FALSE()),"NON MAPPATO"))</f>
        <v/>
      </c>
      <c r="J442" s="6" t="str">
        <f aca="false">IF($A442="","",IFERROR(VLOOKUP($A442,Transcodifica!$A$5:$J$400,7,FALSE()),""))</f>
        <v/>
      </c>
      <c r="K442" s="6" t="str">
        <f aca="false">IF($A442="","",IFERROR(VLOOKUP($A442,Transcodifica!$A$5:$J$400,8,FALSE()),""))</f>
        <v/>
      </c>
      <c r="L442" s="6" t="str">
        <f aca="false">IF($A442="","",IFERROR(VLOOKUP($A442,Transcodifica!$A$5:$J$400,9,FALSE()),""))</f>
        <v/>
      </c>
      <c r="M442" s="8" t="str">
        <f aca="false">IF($A442="","",IF($E442="APPROVATO",1,IF($E442="In svolgimento",IF($F442="",0,$F442),0)))</f>
        <v/>
      </c>
      <c r="N442" s="10" t="str">
        <f aca="false">IF(OR($A442="",$I442="NON MAPPATO",$I442=""),"",$L442*$M442)</f>
        <v/>
      </c>
    </row>
    <row r="443" customFormat="false" ht="15" hidden="false" customHeight="false" outlineLevel="0" collapsed="false">
      <c r="A443" s="6"/>
      <c r="B443" s="7"/>
      <c r="C443" s="6"/>
      <c r="D443" s="6"/>
      <c r="E443" s="6"/>
      <c r="F443" s="8"/>
      <c r="G443" s="9"/>
      <c r="H443" s="7"/>
      <c r="I443" s="6" t="str">
        <f aca="false">IF($A443="","",IFERROR(VLOOKUP($A443,Transcodifica!$A$5:$J$400,5,FALSE()),"NON MAPPATO"))</f>
        <v/>
      </c>
      <c r="J443" s="6" t="str">
        <f aca="false">IF($A443="","",IFERROR(VLOOKUP($A443,Transcodifica!$A$5:$J$400,7,FALSE()),""))</f>
        <v/>
      </c>
      <c r="K443" s="6" t="str">
        <f aca="false">IF($A443="","",IFERROR(VLOOKUP($A443,Transcodifica!$A$5:$J$400,8,FALSE()),""))</f>
        <v/>
      </c>
      <c r="L443" s="6" t="str">
        <f aca="false">IF($A443="","",IFERROR(VLOOKUP($A443,Transcodifica!$A$5:$J$400,9,FALSE()),""))</f>
        <v/>
      </c>
      <c r="M443" s="8" t="str">
        <f aca="false">IF($A443="","",IF($E443="APPROVATO",1,IF($E443="In svolgimento",IF($F443="",0,$F443),0)))</f>
        <v/>
      </c>
      <c r="N443" s="10" t="str">
        <f aca="false">IF(OR($A443="",$I443="NON MAPPATO",$I443=""),"",$L443*$M443)</f>
        <v/>
      </c>
    </row>
    <row r="444" customFormat="false" ht="15" hidden="false" customHeight="false" outlineLevel="0" collapsed="false">
      <c r="A444" s="6"/>
      <c r="B444" s="7"/>
      <c r="C444" s="6"/>
      <c r="D444" s="6"/>
      <c r="E444" s="6"/>
      <c r="F444" s="8"/>
      <c r="G444" s="9"/>
      <c r="H444" s="7"/>
      <c r="I444" s="6" t="str">
        <f aca="false">IF($A444="","",IFERROR(VLOOKUP($A444,Transcodifica!$A$5:$J$400,5,FALSE()),"NON MAPPATO"))</f>
        <v/>
      </c>
      <c r="J444" s="6" t="str">
        <f aca="false">IF($A444="","",IFERROR(VLOOKUP($A444,Transcodifica!$A$5:$J$400,7,FALSE()),""))</f>
        <v/>
      </c>
      <c r="K444" s="6" t="str">
        <f aca="false">IF($A444="","",IFERROR(VLOOKUP($A444,Transcodifica!$A$5:$J$400,8,FALSE()),""))</f>
        <v/>
      </c>
      <c r="L444" s="6" t="str">
        <f aca="false">IF($A444="","",IFERROR(VLOOKUP($A444,Transcodifica!$A$5:$J$400,9,FALSE()),""))</f>
        <v/>
      </c>
      <c r="M444" s="8" t="str">
        <f aca="false">IF($A444="","",IF($E444="APPROVATO",1,IF($E444="In svolgimento",IF($F444="",0,$F444),0)))</f>
        <v/>
      </c>
      <c r="N444" s="10" t="str">
        <f aca="false">IF(OR($A444="",$I444="NON MAPPATO",$I444=""),"",$L444*$M444)</f>
        <v/>
      </c>
    </row>
    <row r="445" customFormat="false" ht="15" hidden="false" customHeight="false" outlineLevel="0" collapsed="false">
      <c r="A445" s="6"/>
      <c r="B445" s="7"/>
      <c r="C445" s="6"/>
      <c r="D445" s="6"/>
      <c r="E445" s="6"/>
      <c r="F445" s="8"/>
      <c r="G445" s="9"/>
      <c r="H445" s="7"/>
      <c r="I445" s="6" t="str">
        <f aca="false">IF($A445="","",IFERROR(VLOOKUP($A445,Transcodifica!$A$5:$J$400,5,FALSE()),"NON MAPPATO"))</f>
        <v/>
      </c>
      <c r="J445" s="6" t="str">
        <f aca="false">IF($A445="","",IFERROR(VLOOKUP($A445,Transcodifica!$A$5:$J$400,7,FALSE()),""))</f>
        <v/>
      </c>
      <c r="K445" s="6" t="str">
        <f aca="false">IF($A445="","",IFERROR(VLOOKUP($A445,Transcodifica!$A$5:$J$400,8,FALSE()),""))</f>
        <v/>
      </c>
      <c r="L445" s="6" t="str">
        <f aca="false">IF($A445="","",IFERROR(VLOOKUP($A445,Transcodifica!$A$5:$J$400,9,FALSE()),""))</f>
        <v/>
      </c>
      <c r="M445" s="8" t="str">
        <f aca="false">IF($A445="","",IF($E445="APPROVATO",1,IF($E445="In svolgimento",IF($F445="",0,$F445),0)))</f>
        <v/>
      </c>
      <c r="N445" s="10" t="str">
        <f aca="false">IF(OR($A445="",$I445="NON MAPPATO",$I445=""),"",$L445*$M445)</f>
        <v/>
      </c>
    </row>
    <row r="446" customFormat="false" ht="15" hidden="false" customHeight="false" outlineLevel="0" collapsed="false">
      <c r="A446" s="6"/>
      <c r="B446" s="7"/>
      <c r="C446" s="6"/>
      <c r="D446" s="6"/>
      <c r="E446" s="6"/>
      <c r="F446" s="8"/>
      <c r="G446" s="9"/>
      <c r="H446" s="7"/>
      <c r="I446" s="6" t="str">
        <f aca="false">IF($A446="","",IFERROR(VLOOKUP($A446,Transcodifica!$A$5:$J$400,5,FALSE()),"NON MAPPATO"))</f>
        <v/>
      </c>
      <c r="J446" s="6" t="str">
        <f aca="false">IF($A446="","",IFERROR(VLOOKUP($A446,Transcodifica!$A$5:$J$400,7,FALSE()),""))</f>
        <v/>
      </c>
      <c r="K446" s="6" t="str">
        <f aca="false">IF($A446="","",IFERROR(VLOOKUP($A446,Transcodifica!$A$5:$J$400,8,FALSE()),""))</f>
        <v/>
      </c>
      <c r="L446" s="6" t="str">
        <f aca="false">IF($A446="","",IFERROR(VLOOKUP($A446,Transcodifica!$A$5:$J$400,9,FALSE()),""))</f>
        <v/>
      </c>
      <c r="M446" s="8" t="str">
        <f aca="false">IF($A446="","",IF($E446="APPROVATO",1,IF($E446="In svolgimento",IF($F446="",0,$F446),0)))</f>
        <v/>
      </c>
      <c r="N446" s="10" t="str">
        <f aca="false">IF(OR($A446="",$I446="NON MAPPATO",$I446=""),"",$L446*$M446)</f>
        <v/>
      </c>
    </row>
    <row r="447" customFormat="false" ht="15" hidden="false" customHeight="false" outlineLevel="0" collapsed="false">
      <c r="A447" s="6"/>
      <c r="B447" s="7"/>
      <c r="C447" s="6"/>
      <c r="D447" s="6"/>
      <c r="E447" s="6"/>
      <c r="F447" s="8"/>
      <c r="G447" s="9"/>
      <c r="H447" s="7"/>
      <c r="I447" s="6" t="str">
        <f aca="false">IF($A447="","",IFERROR(VLOOKUP($A447,Transcodifica!$A$5:$J$400,5,FALSE()),"NON MAPPATO"))</f>
        <v/>
      </c>
      <c r="J447" s="6" t="str">
        <f aca="false">IF($A447="","",IFERROR(VLOOKUP($A447,Transcodifica!$A$5:$J$400,7,FALSE()),""))</f>
        <v/>
      </c>
      <c r="K447" s="6" t="str">
        <f aca="false">IF($A447="","",IFERROR(VLOOKUP($A447,Transcodifica!$A$5:$J$400,8,FALSE()),""))</f>
        <v/>
      </c>
      <c r="L447" s="6" t="str">
        <f aca="false">IF($A447="","",IFERROR(VLOOKUP($A447,Transcodifica!$A$5:$J$400,9,FALSE()),""))</f>
        <v/>
      </c>
      <c r="M447" s="8" t="str">
        <f aca="false">IF($A447="","",IF($E447="APPROVATO",1,IF($E447="In svolgimento",IF($F447="",0,$F447),0)))</f>
        <v/>
      </c>
      <c r="N447" s="10" t="str">
        <f aca="false">IF(OR($A447="",$I447="NON MAPPATO",$I447=""),"",$L447*$M447)</f>
        <v/>
      </c>
    </row>
    <row r="448" customFormat="false" ht="15" hidden="false" customHeight="false" outlineLevel="0" collapsed="false">
      <c r="A448" s="6"/>
      <c r="B448" s="7"/>
      <c r="C448" s="6"/>
      <c r="D448" s="6"/>
      <c r="E448" s="6"/>
      <c r="F448" s="8"/>
      <c r="G448" s="9"/>
      <c r="H448" s="7"/>
      <c r="I448" s="6" t="str">
        <f aca="false">IF($A448="","",IFERROR(VLOOKUP($A448,Transcodifica!$A$5:$J$400,5,FALSE()),"NON MAPPATO"))</f>
        <v/>
      </c>
      <c r="J448" s="6" t="str">
        <f aca="false">IF($A448="","",IFERROR(VLOOKUP($A448,Transcodifica!$A$5:$J$400,7,FALSE()),""))</f>
        <v/>
      </c>
      <c r="K448" s="6" t="str">
        <f aca="false">IF($A448="","",IFERROR(VLOOKUP($A448,Transcodifica!$A$5:$J$400,8,FALSE()),""))</f>
        <v/>
      </c>
      <c r="L448" s="6" t="str">
        <f aca="false">IF($A448="","",IFERROR(VLOOKUP($A448,Transcodifica!$A$5:$J$400,9,FALSE()),""))</f>
        <v/>
      </c>
      <c r="M448" s="8" t="str">
        <f aca="false">IF($A448="","",IF($E448="APPROVATO",1,IF($E448="In svolgimento",IF($F448="",0,$F448),0)))</f>
        <v/>
      </c>
      <c r="N448" s="10" t="str">
        <f aca="false">IF(OR($A448="",$I448="NON MAPPATO",$I448=""),"",$L448*$M448)</f>
        <v/>
      </c>
    </row>
    <row r="449" customFormat="false" ht="15" hidden="false" customHeight="false" outlineLevel="0" collapsed="false">
      <c r="A449" s="6"/>
      <c r="B449" s="7"/>
      <c r="C449" s="6"/>
      <c r="D449" s="6"/>
      <c r="E449" s="6"/>
      <c r="F449" s="8"/>
      <c r="G449" s="9"/>
      <c r="H449" s="7"/>
      <c r="I449" s="6" t="str">
        <f aca="false">IF($A449="","",IFERROR(VLOOKUP($A449,Transcodifica!$A$5:$J$400,5,FALSE()),"NON MAPPATO"))</f>
        <v/>
      </c>
      <c r="J449" s="6" t="str">
        <f aca="false">IF($A449="","",IFERROR(VLOOKUP($A449,Transcodifica!$A$5:$J$400,7,FALSE()),""))</f>
        <v/>
      </c>
      <c r="K449" s="6" t="str">
        <f aca="false">IF($A449="","",IFERROR(VLOOKUP($A449,Transcodifica!$A$5:$J$400,8,FALSE()),""))</f>
        <v/>
      </c>
      <c r="L449" s="6" t="str">
        <f aca="false">IF($A449="","",IFERROR(VLOOKUP($A449,Transcodifica!$A$5:$J$400,9,FALSE()),""))</f>
        <v/>
      </c>
      <c r="M449" s="8" t="str">
        <f aca="false">IF($A449="","",IF($E449="APPROVATO",1,IF($E449="In svolgimento",IF($F449="",0,$F449),0)))</f>
        <v/>
      </c>
      <c r="N449" s="10" t="str">
        <f aca="false">IF(OR($A449="",$I449="NON MAPPATO",$I449=""),"",$L449*$M449)</f>
        <v/>
      </c>
    </row>
    <row r="450" customFormat="false" ht="15" hidden="false" customHeight="false" outlineLevel="0" collapsed="false">
      <c r="A450" s="6"/>
      <c r="B450" s="7"/>
      <c r="C450" s="6"/>
      <c r="D450" s="6"/>
      <c r="E450" s="6"/>
      <c r="F450" s="8"/>
      <c r="G450" s="9"/>
      <c r="H450" s="7"/>
      <c r="I450" s="6" t="str">
        <f aca="false">IF($A450="","",IFERROR(VLOOKUP($A450,Transcodifica!$A$5:$J$400,5,FALSE()),"NON MAPPATO"))</f>
        <v/>
      </c>
      <c r="J450" s="6" t="str">
        <f aca="false">IF($A450="","",IFERROR(VLOOKUP($A450,Transcodifica!$A$5:$J$400,7,FALSE()),""))</f>
        <v/>
      </c>
      <c r="K450" s="6" t="str">
        <f aca="false">IF($A450="","",IFERROR(VLOOKUP($A450,Transcodifica!$A$5:$J$400,8,FALSE()),""))</f>
        <v/>
      </c>
      <c r="L450" s="6" t="str">
        <f aca="false">IF($A450="","",IFERROR(VLOOKUP($A450,Transcodifica!$A$5:$J$400,9,FALSE()),""))</f>
        <v/>
      </c>
      <c r="M450" s="8" t="str">
        <f aca="false">IF($A450="","",IF($E450="APPROVATO",1,IF($E450="In svolgimento",IF($F450="",0,$F450),0)))</f>
        <v/>
      </c>
      <c r="N450" s="10" t="str">
        <f aca="false">IF(OR($A450="",$I450="NON MAPPATO",$I450=""),"",$L450*$M450)</f>
        <v/>
      </c>
    </row>
    <row r="451" customFormat="false" ht="15" hidden="false" customHeight="false" outlineLevel="0" collapsed="false">
      <c r="A451" s="6"/>
      <c r="B451" s="7"/>
      <c r="C451" s="6"/>
      <c r="D451" s="6"/>
      <c r="E451" s="6"/>
      <c r="F451" s="8"/>
      <c r="G451" s="9"/>
      <c r="H451" s="7"/>
      <c r="I451" s="6" t="str">
        <f aca="false">IF($A451="","",IFERROR(VLOOKUP($A451,Transcodifica!$A$5:$J$400,5,FALSE()),"NON MAPPATO"))</f>
        <v/>
      </c>
      <c r="J451" s="6" t="str">
        <f aca="false">IF($A451="","",IFERROR(VLOOKUP($A451,Transcodifica!$A$5:$J$400,7,FALSE()),""))</f>
        <v/>
      </c>
      <c r="K451" s="6" t="str">
        <f aca="false">IF($A451="","",IFERROR(VLOOKUP($A451,Transcodifica!$A$5:$J$400,8,FALSE()),""))</f>
        <v/>
      </c>
      <c r="L451" s="6" t="str">
        <f aca="false">IF($A451="","",IFERROR(VLOOKUP($A451,Transcodifica!$A$5:$J$400,9,FALSE()),""))</f>
        <v/>
      </c>
      <c r="M451" s="8" t="str">
        <f aca="false">IF($A451="","",IF($E451="APPROVATO",1,IF($E451="In svolgimento",IF($F451="",0,$F451),0)))</f>
        <v/>
      </c>
      <c r="N451" s="10" t="str">
        <f aca="false">IF(OR($A451="",$I451="NON MAPPATO",$I451=""),"",$L451*$M451)</f>
        <v/>
      </c>
    </row>
    <row r="452" customFormat="false" ht="15" hidden="false" customHeight="false" outlineLevel="0" collapsed="false">
      <c r="A452" s="6"/>
      <c r="B452" s="7"/>
      <c r="C452" s="6"/>
      <c r="D452" s="6"/>
      <c r="E452" s="6"/>
      <c r="F452" s="8"/>
      <c r="G452" s="9"/>
      <c r="H452" s="7"/>
      <c r="I452" s="6" t="str">
        <f aca="false">IF($A452="","",IFERROR(VLOOKUP($A452,Transcodifica!$A$5:$J$400,5,FALSE()),"NON MAPPATO"))</f>
        <v/>
      </c>
      <c r="J452" s="6" t="str">
        <f aca="false">IF($A452="","",IFERROR(VLOOKUP($A452,Transcodifica!$A$5:$J$400,7,FALSE()),""))</f>
        <v/>
      </c>
      <c r="K452" s="6" t="str">
        <f aca="false">IF($A452="","",IFERROR(VLOOKUP($A452,Transcodifica!$A$5:$J$400,8,FALSE()),""))</f>
        <v/>
      </c>
      <c r="L452" s="6" t="str">
        <f aca="false">IF($A452="","",IFERROR(VLOOKUP($A452,Transcodifica!$A$5:$J$400,9,FALSE()),""))</f>
        <v/>
      </c>
      <c r="M452" s="8" t="str">
        <f aca="false">IF($A452="","",IF($E452="APPROVATO",1,IF($E452="In svolgimento",IF($F452="",0,$F452),0)))</f>
        <v/>
      </c>
      <c r="N452" s="10" t="str">
        <f aca="false">IF(OR($A452="",$I452="NON MAPPATO",$I452=""),"",$L452*$M452)</f>
        <v/>
      </c>
    </row>
    <row r="453" customFormat="false" ht="15" hidden="false" customHeight="false" outlineLevel="0" collapsed="false">
      <c r="A453" s="6"/>
      <c r="B453" s="7"/>
      <c r="C453" s="6"/>
      <c r="D453" s="6"/>
      <c r="E453" s="6"/>
      <c r="F453" s="8"/>
      <c r="G453" s="9"/>
      <c r="H453" s="7"/>
      <c r="I453" s="6" t="str">
        <f aca="false">IF($A453="","",IFERROR(VLOOKUP($A453,Transcodifica!$A$5:$J$400,5,FALSE()),"NON MAPPATO"))</f>
        <v/>
      </c>
      <c r="J453" s="6" t="str">
        <f aca="false">IF($A453="","",IFERROR(VLOOKUP($A453,Transcodifica!$A$5:$J$400,7,FALSE()),""))</f>
        <v/>
      </c>
      <c r="K453" s="6" t="str">
        <f aca="false">IF($A453="","",IFERROR(VLOOKUP($A453,Transcodifica!$A$5:$J$400,8,FALSE()),""))</f>
        <v/>
      </c>
      <c r="L453" s="6" t="str">
        <f aca="false">IF($A453="","",IFERROR(VLOOKUP($A453,Transcodifica!$A$5:$J$400,9,FALSE()),""))</f>
        <v/>
      </c>
      <c r="M453" s="8" t="str">
        <f aca="false">IF($A453="","",IF($E453="APPROVATO",1,IF($E453="In svolgimento",IF($F453="",0,$F453),0)))</f>
        <v/>
      </c>
      <c r="N453" s="10" t="str">
        <f aca="false">IF(OR($A453="",$I453="NON MAPPATO",$I453=""),"",$L453*$M453)</f>
        <v/>
      </c>
    </row>
    <row r="454" customFormat="false" ht="15" hidden="false" customHeight="false" outlineLevel="0" collapsed="false">
      <c r="A454" s="6"/>
      <c r="B454" s="7"/>
      <c r="C454" s="6"/>
      <c r="D454" s="6"/>
      <c r="E454" s="6"/>
      <c r="F454" s="8"/>
      <c r="G454" s="9"/>
      <c r="H454" s="7"/>
      <c r="I454" s="6" t="str">
        <f aca="false">IF($A454="","",IFERROR(VLOOKUP($A454,Transcodifica!$A$5:$J$400,5,FALSE()),"NON MAPPATO"))</f>
        <v/>
      </c>
      <c r="J454" s="6" t="str">
        <f aca="false">IF($A454="","",IFERROR(VLOOKUP($A454,Transcodifica!$A$5:$J$400,7,FALSE()),""))</f>
        <v/>
      </c>
      <c r="K454" s="6" t="str">
        <f aca="false">IF($A454="","",IFERROR(VLOOKUP($A454,Transcodifica!$A$5:$J$400,8,FALSE()),""))</f>
        <v/>
      </c>
      <c r="L454" s="6" t="str">
        <f aca="false">IF($A454="","",IFERROR(VLOOKUP($A454,Transcodifica!$A$5:$J$400,9,FALSE()),""))</f>
        <v/>
      </c>
      <c r="M454" s="8" t="str">
        <f aca="false">IF($A454="","",IF($E454="APPROVATO",1,IF($E454="In svolgimento",IF($F454="",0,$F454),0)))</f>
        <v/>
      </c>
      <c r="N454" s="10" t="str">
        <f aca="false">IF(OR($A454="",$I454="NON MAPPATO",$I454=""),"",$L454*$M454)</f>
        <v/>
      </c>
    </row>
    <row r="455" customFormat="false" ht="15" hidden="false" customHeight="false" outlineLevel="0" collapsed="false">
      <c r="A455" s="6"/>
      <c r="B455" s="7"/>
      <c r="C455" s="6"/>
      <c r="D455" s="6"/>
      <c r="E455" s="6"/>
      <c r="F455" s="8"/>
      <c r="G455" s="9"/>
      <c r="H455" s="7"/>
      <c r="I455" s="6" t="str">
        <f aca="false">IF($A455="","",IFERROR(VLOOKUP($A455,Transcodifica!$A$5:$J$400,5,FALSE()),"NON MAPPATO"))</f>
        <v/>
      </c>
      <c r="J455" s="6" t="str">
        <f aca="false">IF($A455="","",IFERROR(VLOOKUP($A455,Transcodifica!$A$5:$J$400,7,FALSE()),""))</f>
        <v/>
      </c>
      <c r="K455" s="6" t="str">
        <f aca="false">IF($A455="","",IFERROR(VLOOKUP($A455,Transcodifica!$A$5:$J$400,8,FALSE()),""))</f>
        <v/>
      </c>
      <c r="L455" s="6" t="str">
        <f aca="false">IF($A455="","",IFERROR(VLOOKUP($A455,Transcodifica!$A$5:$J$400,9,FALSE()),""))</f>
        <v/>
      </c>
      <c r="M455" s="8" t="str">
        <f aca="false">IF($A455="","",IF($E455="APPROVATO",1,IF($E455="In svolgimento",IF($F455="",0,$F455),0)))</f>
        <v/>
      </c>
      <c r="N455" s="10" t="str">
        <f aca="false">IF(OR($A455="",$I455="NON MAPPATO",$I455=""),"",$L455*$M455)</f>
        <v/>
      </c>
    </row>
    <row r="456" customFormat="false" ht="15" hidden="false" customHeight="false" outlineLevel="0" collapsed="false">
      <c r="A456" s="6"/>
      <c r="B456" s="7"/>
      <c r="C456" s="6"/>
      <c r="D456" s="6"/>
      <c r="E456" s="6"/>
      <c r="F456" s="8"/>
      <c r="G456" s="9"/>
      <c r="H456" s="7"/>
      <c r="I456" s="6" t="str">
        <f aca="false">IF($A456="","",IFERROR(VLOOKUP($A456,Transcodifica!$A$5:$J$400,5,FALSE()),"NON MAPPATO"))</f>
        <v/>
      </c>
      <c r="J456" s="6" t="str">
        <f aca="false">IF($A456="","",IFERROR(VLOOKUP($A456,Transcodifica!$A$5:$J$400,7,FALSE()),""))</f>
        <v/>
      </c>
      <c r="K456" s="6" t="str">
        <f aca="false">IF($A456="","",IFERROR(VLOOKUP($A456,Transcodifica!$A$5:$J$400,8,FALSE()),""))</f>
        <v/>
      </c>
      <c r="L456" s="6" t="str">
        <f aca="false">IF($A456="","",IFERROR(VLOOKUP($A456,Transcodifica!$A$5:$J$400,9,FALSE()),""))</f>
        <v/>
      </c>
      <c r="M456" s="8" t="str">
        <f aca="false">IF($A456="","",IF($E456="APPROVATO",1,IF($E456="In svolgimento",IF($F456="",0,$F456),0)))</f>
        <v/>
      </c>
      <c r="N456" s="10" t="str">
        <f aca="false">IF(OR($A456="",$I456="NON MAPPATO",$I456=""),"",$L456*$M456)</f>
        <v/>
      </c>
    </row>
    <row r="457" customFormat="false" ht="15" hidden="false" customHeight="false" outlineLevel="0" collapsed="false">
      <c r="A457" s="6"/>
      <c r="B457" s="7"/>
      <c r="C457" s="6"/>
      <c r="D457" s="6"/>
      <c r="E457" s="6"/>
      <c r="F457" s="8"/>
      <c r="G457" s="9"/>
      <c r="H457" s="7"/>
      <c r="I457" s="6" t="str">
        <f aca="false">IF($A457="","",IFERROR(VLOOKUP($A457,Transcodifica!$A$5:$J$400,5,FALSE()),"NON MAPPATO"))</f>
        <v/>
      </c>
      <c r="J457" s="6" t="str">
        <f aca="false">IF($A457="","",IFERROR(VLOOKUP($A457,Transcodifica!$A$5:$J$400,7,FALSE()),""))</f>
        <v/>
      </c>
      <c r="K457" s="6" t="str">
        <f aca="false">IF($A457="","",IFERROR(VLOOKUP($A457,Transcodifica!$A$5:$J$400,8,FALSE()),""))</f>
        <v/>
      </c>
      <c r="L457" s="6" t="str">
        <f aca="false">IF($A457="","",IFERROR(VLOOKUP($A457,Transcodifica!$A$5:$J$400,9,FALSE()),""))</f>
        <v/>
      </c>
      <c r="M457" s="8" t="str">
        <f aca="false">IF($A457="","",IF($E457="APPROVATO",1,IF($E457="In svolgimento",IF($F457="",0,$F457),0)))</f>
        <v/>
      </c>
      <c r="N457" s="10" t="str">
        <f aca="false">IF(OR($A457="",$I457="NON MAPPATO",$I457=""),"",$L457*$M457)</f>
        <v/>
      </c>
    </row>
    <row r="458" customFormat="false" ht="15" hidden="false" customHeight="false" outlineLevel="0" collapsed="false">
      <c r="A458" s="6"/>
      <c r="B458" s="7"/>
      <c r="C458" s="6"/>
      <c r="D458" s="6"/>
      <c r="E458" s="6"/>
      <c r="F458" s="8"/>
      <c r="G458" s="9"/>
      <c r="H458" s="7"/>
      <c r="I458" s="6" t="str">
        <f aca="false">IF($A458="","",IFERROR(VLOOKUP($A458,Transcodifica!$A$5:$J$400,5,FALSE()),"NON MAPPATO"))</f>
        <v/>
      </c>
      <c r="J458" s="6" t="str">
        <f aca="false">IF($A458="","",IFERROR(VLOOKUP($A458,Transcodifica!$A$5:$J$400,7,FALSE()),""))</f>
        <v/>
      </c>
      <c r="K458" s="6" t="str">
        <f aca="false">IF($A458="","",IFERROR(VLOOKUP($A458,Transcodifica!$A$5:$J$400,8,FALSE()),""))</f>
        <v/>
      </c>
      <c r="L458" s="6" t="str">
        <f aca="false">IF($A458="","",IFERROR(VLOOKUP($A458,Transcodifica!$A$5:$J$400,9,FALSE()),""))</f>
        <v/>
      </c>
      <c r="M458" s="8" t="str">
        <f aca="false">IF($A458="","",IF($E458="APPROVATO",1,IF($E458="In svolgimento",IF($F458="",0,$F458),0)))</f>
        <v/>
      </c>
      <c r="N458" s="10" t="str">
        <f aca="false">IF(OR($A458="",$I458="NON MAPPATO",$I458=""),"",$L458*$M458)</f>
        <v/>
      </c>
    </row>
    <row r="459" customFormat="false" ht="15" hidden="false" customHeight="false" outlineLevel="0" collapsed="false">
      <c r="A459" s="6"/>
      <c r="B459" s="7"/>
      <c r="C459" s="6"/>
      <c r="D459" s="6"/>
      <c r="E459" s="6"/>
      <c r="F459" s="8"/>
      <c r="G459" s="9"/>
      <c r="H459" s="7"/>
      <c r="I459" s="6" t="str">
        <f aca="false">IF($A459="","",IFERROR(VLOOKUP($A459,Transcodifica!$A$5:$J$400,5,FALSE()),"NON MAPPATO"))</f>
        <v/>
      </c>
      <c r="J459" s="6" t="str">
        <f aca="false">IF($A459="","",IFERROR(VLOOKUP($A459,Transcodifica!$A$5:$J$400,7,FALSE()),""))</f>
        <v/>
      </c>
      <c r="K459" s="6" t="str">
        <f aca="false">IF($A459="","",IFERROR(VLOOKUP($A459,Transcodifica!$A$5:$J$400,8,FALSE()),""))</f>
        <v/>
      </c>
      <c r="L459" s="6" t="str">
        <f aca="false">IF($A459="","",IFERROR(VLOOKUP($A459,Transcodifica!$A$5:$J$400,9,FALSE()),""))</f>
        <v/>
      </c>
      <c r="M459" s="8" t="str">
        <f aca="false">IF($A459="","",IF($E459="APPROVATO",1,IF($E459="In svolgimento",IF($F459="",0,$F459),0)))</f>
        <v/>
      </c>
      <c r="N459" s="10" t="str">
        <f aca="false">IF(OR($A459="",$I459="NON MAPPATO",$I459=""),"",$L459*$M459)</f>
        <v/>
      </c>
    </row>
    <row r="460" customFormat="false" ht="15" hidden="false" customHeight="false" outlineLevel="0" collapsed="false">
      <c r="A460" s="6"/>
      <c r="B460" s="7"/>
      <c r="C460" s="6"/>
      <c r="D460" s="6"/>
      <c r="E460" s="6"/>
      <c r="F460" s="8"/>
      <c r="G460" s="9"/>
      <c r="H460" s="7"/>
      <c r="I460" s="6" t="str">
        <f aca="false">IF($A460="","",IFERROR(VLOOKUP($A460,Transcodifica!$A$5:$J$400,5,FALSE()),"NON MAPPATO"))</f>
        <v/>
      </c>
      <c r="J460" s="6" t="str">
        <f aca="false">IF($A460="","",IFERROR(VLOOKUP($A460,Transcodifica!$A$5:$J$400,7,FALSE()),""))</f>
        <v/>
      </c>
      <c r="K460" s="6" t="str">
        <f aca="false">IF($A460="","",IFERROR(VLOOKUP($A460,Transcodifica!$A$5:$J$400,8,FALSE()),""))</f>
        <v/>
      </c>
      <c r="L460" s="6" t="str">
        <f aca="false">IF($A460="","",IFERROR(VLOOKUP($A460,Transcodifica!$A$5:$J$400,9,FALSE()),""))</f>
        <v/>
      </c>
      <c r="M460" s="8" t="str">
        <f aca="false">IF($A460="","",IF($E460="APPROVATO",1,IF($E460="In svolgimento",IF($F460="",0,$F460),0)))</f>
        <v/>
      </c>
      <c r="N460" s="10" t="str">
        <f aca="false">IF(OR($A460="",$I460="NON MAPPATO",$I460=""),"",$L460*$M460)</f>
        <v/>
      </c>
    </row>
    <row r="461" customFormat="false" ht="15" hidden="false" customHeight="false" outlineLevel="0" collapsed="false">
      <c r="A461" s="6"/>
      <c r="B461" s="7"/>
      <c r="C461" s="6"/>
      <c r="D461" s="6"/>
      <c r="E461" s="6"/>
      <c r="F461" s="8"/>
      <c r="G461" s="9"/>
      <c r="H461" s="7"/>
      <c r="I461" s="6" t="str">
        <f aca="false">IF($A461="","",IFERROR(VLOOKUP($A461,Transcodifica!$A$5:$J$400,5,FALSE()),"NON MAPPATO"))</f>
        <v/>
      </c>
      <c r="J461" s="6" t="str">
        <f aca="false">IF($A461="","",IFERROR(VLOOKUP($A461,Transcodifica!$A$5:$J$400,7,FALSE()),""))</f>
        <v/>
      </c>
      <c r="K461" s="6" t="str">
        <f aca="false">IF($A461="","",IFERROR(VLOOKUP($A461,Transcodifica!$A$5:$J$400,8,FALSE()),""))</f>
        <v/>
      </c>
      <c r="L461" s="6" t="str">
        <f aca="false">IF($A461="","",IFERROR(VLOOKUP($A461,Transcodifica!$A$5:$J$400,9,FALSE()),""))</f>
        <v/>
      </c>
      <c r="M461" s="8" t="str">
        <f aca="false">IF($A461="","",IF($E461="APPROVATO",1,IF($E461="In svolgimento",IF($F461="",0,$F461),0)))</f>
        <v/>
      </c>
      <c r="N461" s="10" t="str">
        <f aca="false">IF(OR($A461="",$I461="NON MAPPATO",$I461=""),"",$L461*$M461)</f>
        <v/>
      </c>
    </row>
    <row r="462" customFormat="false" ht="15" hidden="false" customHeight="false" outlineLevel="0" collapsed="false">
      <c r="A462" s="6"/>
      <c r="B462" s="7"/>
      <c r="C462" s="6"/>
      <c r="D462" s="6"/>
      <c r="E462" s="6"/>
      <c r="F462" s="8"/>
      <c r="G462" s="9"/>
      <c r="H462" s="7"/>
      <c r="I462" s="6" t="str">
        <f aca="false">IF($A462="","",IFERROR(VLOOKUP($A462,Transcodifica!$A$5:$J$400,5,FALSE()),"NON MAPPATO"))</f>
        <v/>
      </c>
      <c r="J462" s="6" t="str">
        <f aca="false">IF($A462="","",IFERROR(VLOOKUP($A462,Transcodifica!$A$5:$J$400,7,FALSE()),""))</f>
        <v/>
      </c>
      <c r="K462" s="6" t="str">
        <f aca="false">IF($A462="","",IFERROR(VLOOKUP($A462,Transcodifica!$A$5:$J$400,8,FALSE()),""))</f>
        <v/>
      </c>
      <c r="L462" s="6" t="str">
        <f aca="false">IF($A462="","",IFERROR(VLOOKUP($A462,Transcodifica!$A$5:$J$400,9,FALSE()),""))</f>
        <v/>
      </c>
      <c r="M462" s="8" t="str">
        <f aca="false">IF($A462="","",IF($E462="APPROVATO",1,IF($E462="In svolgimento",IF($F462="",0,$F462),0)))</f>
        <v/>
      </c>
      <c r="N462" s="10" t="str">
        <f aca="false">IF(OR($A462="",$I462="NON MAPPATO",$I462=""),"",$L462*$M462)</f>
        <v/>
      </c>
    </row>
    <row r="463" customFormat="false" ht="15" hidden="false" customHeight="false" outlineLevel="0" collapsed="false">
      <c r="A463" s="6"/>
      <c r="B463" s="7"/>
      <c r="C463" s="6"/>
      <c r="D463" s="6"/>
      <c r="E463" s="6"/>
      <c r="F463" s="8"/>
      <c r="G463" s="9"/>
      <c r="H463" s="7"/>
      <c r="I463" s="6" t="str">
        <f aca="false">IF($A463="","",IFERROR(VLOOKUP($A463,Transcodifica!$A$5:$J$400,5,FALSE()),"NON MAPPATO"))</f>
        <v/>
      </c>
      <c r="J463" s="6" t="str">
        <f aca="false">IF($A463="","",IFERROR(VLOOKUP($A463,Transcodifica!$A$5:$J$400,7,FALSE()),""))</f>
        <v/>
      </c>
      <c r="K463" s="6" t="str">
        <f aca="false">IF($A463="","",IFERROR(VLOOKUP($A463,Transcodifica!$A$5:$J$400,8,FALSE()),""))</f>
        <v/>
      </c>
      <c r="L463" s="6" t="str">
        <f aca="false">IF($A463="","",IFERROR(VLOOKUP($A463,Transcodifica!$A$5:$J$400,9,FALSE()),""))</f>
        <v/>
      </c>
      <c r="M463" s="8" t="str">
        <f aca="false">IF($A463="","",IF($E463="APPROVATO",1,IF($E463="In svolgimento",IF($F463="",0,$F463),0)))</f>
        <v/>
      </c>
      <c r="N463" s="10" t="str">
        <f aca="false">IF(OR($A463="",$I463="NON MAPPATO",$I463=""),"",$L463*$M463)</f>
        <v/>
      </c>
    </row>
    <row r="464" customFormat="false" ht="15" hidden="false" customHeight="false" outlineLevel="0" collapsed="false">
      <c r="A464" s="6"/>
      <c r="B464" s="7"/>
      <c r="C464" s="6"/>
      <c r="D464" s="6"/>
      <c r="E464" s="6"/>
      <c r="F464" s="8"/>
      <c r="G464" s="9"/>
      <c r="H464" s="7"/>
      <c r="I464" s="6" t="str">
        <f aca="false">IF($A464="","",IFERROR(VLOOKUP($A464,Transcodifica!$A$5:$J$400,5,FALSE()),"NON MAPPATO"))</f>
        <v/>
      </c>
      <c r="J464" s="6" t="str">
        <f aca="false">IF($A464="","",IFERROR(VLOOKUP($A464,Transcodifica!$A$5:$J$400,7,FALSE()),""))</f>
        <v/>
      </c>
      <c r="K464" s="6" t="str">
        <f aca="false">IF($A464="","",IFERROR(VLOOKUP($A464,Transcodifica!$A$5:$J$400,8,FALSE()),""))</f>
        <v/>
      </c>
      <c r="L464" s="6" t="str">
        <f aca="false">IF($A464="","",IFERROR(VLOOKUP($A464,Transcodifica!$A$5:$J$400,9,FALSE()),""))</f>
        <v/>
      </c>
      <c r="M464" s="8" t="str">
        <f aca="false">IF($A464="","",IF($E464="APPROVATO",1,IF($E464="In svolgimento",IF($F464="",0,$F464),0)))</f>
        <v/>
      </c>
      <c r="N464" s="10" t="str">
        <f aca="false">IF(OR($A464="",$I464="NON MAPPATO",$I464=""),"",$L464*$M464)</f>
        <v/>
      </c>
    </row>
    <row r="465" customFormat="false" ht="15" hidden="false" customHeight="false" outlineLevel="0" collapsed="false">
      <c r="A465" s="6"/>
      <c r="B465" s="7"/>
      <c r="C465" s="6"/>
      <c r="D465" s="6"/>
      <c r="E465" s="6"/>
      <c r="F465" s="8"/>
      <c r="G465" s="9"/>
      <c r="H465" s="7"/>
      <c r="I465" s="6" t="str">
        <f aca="false">IF($A465="","",IFERROR(VLOOKUP($A465,Transcodifica!$A$5:$J$400,5,FALSE()),"NON MAPPATO"))</f>
        <v/>
      </c>
      <c r="J465" s="6" t="str">
        <f aca="false">IF($A465="","",IFERROR(VLOOKUP($A465,Transcodifica!$A$5:$J$400,7,FALSE()),""))</f>
        <v/>
      </c>
      <c r="K465" s="6" t="str">
        <f aca="false">IF($A465="","",IFERROR(VLOOKUP($A465,Transcodifica!$A$5:$J$400,8,FALSE()),""))</f>
        <v/>
      </c>
      <c r="L465" s="6" t="str">
        <f aca="false">IF($A465="","",IFERROR(VLOOKUP($A465,Transcodifica!$A$5:$J$400,9,FALSE()),""))</f>
        <v/>
      </c>
      <c r="M465" s="8" t="str">
        <f aca="false">IF($A465="","",IF($E465="APPROVATO",1,IF($E465="In svolgimento",IF($F465="",0,$F465),0)))</f>
        <v/>
      </c>
      <c r="N465" s="10" t="str">
        <f aca="false">IF(OR($A465="",$I465="NON MAPPATO",$I465=""),"",$L465*$M465)</f>
        <v/>
      </c>
    </row>
    <row r="466" customFormat="false" ht="15" hidden="false" customHeight="false" outlineLevel="0" collapsed="false">
      <c r="A466" s="6"/>
      <c r="B466" s="7"/>
      <c r="C466" s="6"/>
      <c r="D466" s="6"/>
      <c r="E466" s="6"/>
      <c r="F466" s="8"/>
      <c r="G466" s="9"/>
      <c r="H466" s="7"/>
      <c r="I466" s="6" t="str">
        <f aca="false">IF($A466="","",IFERROR(VLOOKUP($A466,Transcodifica!$A$5:$J$400,5,FALSE()),"NON MAPPATO"))</f>
        <v/>
      </c>
      <c r="J466" s="6" t="str">
        <f aca="false">IF($A466="","",IFERROR(VLOOKUP($A466,Transcodifica!$A$5:$J$400,7,FALSE()),""))</f>
        <v/>
      </c>
      <c r="K466" s="6" t="str">
        <f aca="false">IF($A466="","",IFERROR(VLOOKUP($A466,Transcodifica!$A$5:$J$400,8,FALSE()),""))</f>
        <v/>
      </c>
      <c r="L466" s="6" t="str">
        <f aca="false">IF($A466="","",IFERROR(VLOOKUP($A466,Transcodifica!$A$5:$J$400,9,FALSE()),""))</f>
        <v/>
      </c>
      <c r="M466" s="8" t="str">
        <f aca="false">IF($A466="","",IF($E466="APPROVATO",1,IF($E466="In svolgimento",IF($F466="",0,$F466),0)))</f>
        <v/>
      </c>
      <c r="N466" s="10" t="str">
        <f aca="false">IF(OR($A466="",$I466="NON MAPPATO",$I466=""),"",$L466*$M466)</f>
        <v/>
      </c>
    </row>
    <row r="467" customFormat="false" ht="15" hidden="false" customHeight="false" outlineLevel="0" collapsed="false">
      <c r="A467" s="6"/>
      <c r="B467" s="7"/>
      <c r="C467" s="6"/>
      <c r="D467" s="6"/>
      <c r="E467" s="6"/>
      <c r="F467" s="8"/>
      <c r="G467" s="9"/>
      <c r="H467" s="7"/>
      <c r="I467" s="6" t="str">
        <f aca="false">IF($A467="","",IFERROR(VLOOKUP($A467,Transcodifica!$A$5:$J$400,5,FALSE()),"NON MAPPATO"))</f>
        <v/>
      </c>
      <c r="J467" s="6" t="str">
        <f aca="false">IF($A467="","",IFERROR(VLOOKUP($A467,Transcodifica!$A$5:$J$400,7,FALSE()),""))</f>
        <v/>
      </c>
      <c r="K467" s="6" t="str">
        <f aca="false">IF($A467="","",IFERROR(VLOOKUP($A467,Transcodifica!$A$5:$J$400,8,FALSE()),""))</f>
        <v/>
      </c>
      <c r="L467" s="6" t="str">
        <f aca="false">IF($A467="","",IFERROR(VLOOKUP($A467,Transcodifica!$A$5:$J$400,9,FALSE()),""))</f>
        <v/>
      </c>
      <c r="M467" s="8" t="str">
        <f aca="false">IF($A467="","",IF($E467="APPROVATO",1,IF($E467="In svolgimento",IF($F467="",0,$F467),0)))</f>
        <v/>
      </c>
      <c r="N467" s="10" t="str">
        <f aca="false">IF(OR($A467="",$I467="NON MAPPATO",$I467=""),"",$L467*$M467)</f>
        <v/>
      </c>
    </row>
    <row r="468" customFormat="false" ht="15" hidden="false" customHeight="false" outlineLevel="0" collapsed="false">
      <c r="A468" s="6"/>
      <c r="B468" s="7"/>
      <c r="C468" s="6"/>
      <c r="D468" s="6"/>
      <c r="E468" s="6"/>
      <c r="F468" s="8"/>
      <c r="G468" s="9"/>
      <c r="H468" s="7"/>
      <c r="I468" s="6" t="str">
        <f aca="false">IF($A468="","",IFERROR(VLOOKUP($A468,Transcodifica!$A$5:$J$400,5,FALSE()),"NON MAPPATO"))</f>
        <v/>
      </c>
      <c r="J468" s="6" t="str">
        <f aca="false">IF($A468="","",IFERROR(VLOOKUP($A468,Transcodifica!$A$5:$J$400,7,FALSE()),""))</f>
        <v/>
      </c>
      <c r="K468" s="6" t="str">
        <f aca="false">IF($A468="","",IFERROR(VLOOKUP($A468,Transcodifica!$A$5:$J$400,8,FALSE()),""))</f>
        <v/>
      </c>
      <c r="L468" s="6" t="str">
        <f aca="false">IF($A468="","",IFERROR(VLOOKUP($A468,Transcodifica!$A$5:$J$400,9,FALSE()),""))</f>
        <v/>
      </c>
      <c r="M468" s="8" t="str">
        <f aca="false">IF($A468="","",IF($E468="APPROVATO",1,IF($E468="In svolgimento",IF($F468="",0,$F468),0)))</f>
        <v/>
      </c>
      <c r="N468" s="10" t="str">
        <f aca="false">IF(OR($A468="",$I468="NON MAPPATO",$I468=""),"",$L468*$M468)</f>
        <v/>
      </c>
    </row>
    <row r="469" customFormat="false" ht="15" hidden="false" customHeight="false" outlineLevel="0" collapsed="false">
      <c r="A469" s="6"/>
      <c r="B469" s="7"/>
      <c r="C469" s="6"/>
      <c r="D469" s="6"/>
      <c r="E469" s="6"/>
      <c r="F469" s="8"/>
      <c r="G469" s="9"/>
      <c r="H469" s="7"/>
      <c r="I469" s="6" t="str">
        <f aca="false">IF($A469="","",IFERROR(VLOOKUP($A469,Transcodifica!$A$5:$J$400,5,FALSE()),"NON MAPPATO"))</f>
        <v/>
      </c>
      <c r="J469" s="6" t="str">
        <f aca="false">IF($A469="","",IFERROR(VLOOKUP($A469,Transcodifica!$A$5:$J$400,7,FALSE()),""))</f>
        <v/>
      </c>
      <c r="K469" s="6" t="str">
        <f aca="false">IF($A469="","",IFERROR(VLOOKUP($A469,Transcodifica!$A$5:$J$400,8,FALSE()),""))</f>
        <v/>
      </c>
      <c r="L469" s="6" t="str">
        <f aca="false">IF($A469="","",IFERROR(VLOOKUP($A469,Transcodifica!$A$5:$J$400,9,FALSE()),""))</f>
        <v/>
      </c>
      <c r="M469" s="8" t="str">
        <f aca="false">IF($A469="","",IF($E469="APPROVATO",1,IF($E469="In svolgimento",IF($F469="",0,$F469),0)))</f>
        <v/>
      </c>
      <c r="N469" s="10" t="str">
        <f aca="false">IF(OR($A469="",$I469="NON MAPPATO",$I469=""),"",$L469*$M469)</f>
        <v/>
      </c>
    </row>
    <row r="470" customFormat="false" ht="15" hidden="false" customHeight="false" outlineLevel="0" collapsed="false">
      <c r="A470" s="6"/>
      <c r="B470" s="7"/>
      <c r="C470" s="6"/>
      <c r="D470" s="6"/>
      <c r="E470" s="6"/>
      <c r="F470" s="8"/>
      <c r="G470" s="9"/>
      <c r="H470" s="7"/>
      <c r="I470" s="6" t="str">
        <f aca="false">IF($A470="","",IFERROR(VLOOKUP($A470,Transcodifica!$A$5:$J$400,5,FALSE()),"NON MAPPATO"))</f>
        <v/>
      </c>
      <c r="J470" s="6" t="str">
        <f aca="false">IF($A470="","",IFERROR(VLOOKUP($A470,Transcodifica!$A$5:$J$400,7,FALSE()),""))</f>
        <v/>
      </c>
      <c r="K470" s="6" t="str">
        <f aca="false">IF($A470="","",IFERROR(VLOOKUP($A470,Transcodifica!$A$5:$J$400,8,FALSE()),""))</f>
        <v/>
      </c>
      <c r="L470" s="6" t="str">
        <f aca="false">IF($A470="","",IFERROR(VLOOKUP($A470,Transcodifica!$A$5:$J$400,9,FALSE()),""))</f>
        <v/>
      </c>
      <c r="M470" s="8" t="str">
        <f aca="false">IF($A470="","",IF($E470="APPROVATO",1,IF($E470="In svolgimento",IF($F470="",0,$F470),0)))</f>
        <v/>
      </c>
      <c r="N470" s="10" t="str">
        <f aca="false">IF(OR($A470="",$I470="NON MAPPATO",$I470=""),"",$L470*$M470)</f>
        <v/>
      </c>
    </row>
    <row r="471" customFormat="false" ht="15" hidden="false" customHeight="false" outlineLevel="0" collapsed="false">
      <c r="A471" s="6"/>
      <c r="B471" s="7"/>
      <c r="C471" s="6"/>
      <c r="D471" s="6"/>
      <c r="E471" s="6"/>
      <c r="F471" s="8"/>
      <c r="G471" s="9"/>
      <c r="H471" s="7"/>
      <c r="I471" s="6" t="str">
        <f aca="false">IF($A471="","",IFERROR(VLOOKUP($A471,Transcodifica!$A$5:$J$400,5,FALSE()),"NON MAPPATO"))</f>
        <v/>
      </c>
      <c r="J471" s="6" t="str">
        <f aca="false">IF($A471="","",IFERROR(VLOOKUP($A471,Transcodifica!$A$5:$J$400,7,FALSE()),""))</f>
        <v/>
      </c>
      <c r="K471" s="6" t="str">
        <f aca="false">IF($A471="","",IFERROR(VLOOKUP($A471,Transcodifica!$A$5:$J$400,8,FALSE()),""))</f>
        <v/>
      </c>
      <c r="L471" s="6" t="str">
        <f aca="false">IF($A471="","",IFERROR(VLOOKUP($A471,Transcodifica!$A$5:$J$400,9,FALSE()),""))</f>
        <v/>
      </c>
      <c r="M471" s="8" t="str">
        <f aca="false">IF($A471="","",IF($E471="APPROVATO",1,IF($E471="In svolgimento",IF($F471="",0,$F471),0)))</f>
        <v/>
      </c>
      <c r="N471" s="10" t="str">
        <f aca="false">IF(OR($A471="",$I471="NON MAPPATO",$I471=""),"",$L471*$M471)</f>
        <v/>
      </c>
    </row>
    <row r="472" customFormat="false" ht="15" hidden="false" customHeight="false" outlineLevel="0" collapsed="false">
      <c r="A472" s="6"/>
      <c r="B472" s="7"/>
      <c r="C472" s="6"/>
      <c r="D472" s="6"/>
      <c r="E472" s="6"/>
      <c r="F472" s="8"/>
      <c r="G472" s="9"/>
      <c r="H472" s="7"/>
      <c r="I472" s="6" t="str">
        <f aca="false">IF($A472="","",IFERROR(VLOOKUP($A472,Transcodifica!$A$5:$J$400,5,FALSE()),"NON MAPPATO"))</f>
        <v/>
      </c>
      <c r="J472" s="6" t="str">
        <f aca="false">IF($A472="","",IFERROR(VLOOKUP($A472,Transcodifica!$A$5:$J$400,7,FALSE()),""))</f>
        <v/>
      </c>
      <c r="K472" s="6" t="str">
        <f aca="false">IF($A472="","",IFERROR(VLOOKUP($A472,Transcodifica!$A$5:$J$400,8,FALSE()),""))</f>
        <v/>
      </c>
      <c r="L472" s="6" t="str">
        <f aca="false">IF($A472="","",IFERROR(VLOOKUP($A472,Transcodifica!$A$5:$J$400,9,FALSE()),""))</f>
        <v/>
      </c>
      <c r="M472" s="8" t="str">
        <f aca="false">IF($A472="","",IF($E472="APPROVATO",1,IF($E472="In svolgimento",IF($F472="",0,$F472),0)))</f>
        <v/>
      </c>
      <c r="N472" s="10" t="str">
        <f aca="false">IF(OR($A472="",$I472="NON MAPPATO",$I472=""),"",$L472*$M472)</f>
        <v/>
      </c>
    </row>
    <row r="473" customFormat="false" ht="15" hidden="false" customHeight="false" outlineLevel="0" collapsed="false">
      <c r="A473" s="6"/>
      <c r="B473" s="7"/>
      <c r="C473" s="6"/>
      <c r="D473" s="6"/>
      <c r="E473" s="6"/>
      <c r="F473" s="8"/>
      <c r="G473" s="9"/>
      <c r="H473" s="7"/>
      <c r="I473" s="6" t="str">
        <f aca="false">IF($A473="","",IFERROR(VLOOKUP($A473,Transcodifica!$A$5:$J$400,5,FALSE()),"NON MAPPATO"))</f>
        <v/>
      </c>
      <c r="J473" s="6" t="str">
        <f aca="false">IF($A473="","",IFERROR(VLOOKUP($A473,Transcodifica!$A$5:$J$400,7,FALSE()),""))</f>
        <v/>
      </c>
      <c r="K473" s="6" t="str">
        <f aca="false">IF($A473="","",IFERROR(VLOOKUP($A473,Transcodifica!$A$5:$J$400,8,FALSE()),""))</f>
        <v/>
      </c>
      <c r="L473" s="6" t="str">
        <f aca="false">IF($A473="","",IFERROR(VLOOKUP($A473,Transcodifica!$A$5:$J$400,9,FALSE()),""))</f>
        <v/>
      </c>
      <c r="M473" s="8" t="str">
        <f aca="false">IF($A473="","",IF($E473="APPROVATO",1,IF($E473="In svolgimento",IF($F473="",0,$F473),0)))</f>
        <v/>
      </c>
      <c r="N473" s="10" t="str">
        <f aca="false">IF(OR($A473="",$I473="NON MAPPATO",$I473=""),"",$L473*$M473)</f>
        <v/>
      </c>
    </row>
    <row r="474" customFormat="false" ht="15" hidden="false" customHeight="false" outlineLevel="0" collapsed="false">
      <c r="A474" s="6"/>
      <c r="B474" s="7"/>
      <c r="C474" s="6"/>
      <c r="D474" s="6"/>
      <c r="E474" s="6"/>
      <c r="F474" s="8"/>
      <c r="G474" s="9"/>
      <c r="H474" s="7"/>
      <c r="I474" s="6" t="str">
        <f aca="false">IF($A474="","",IFERROR(VLOOKUP($A474,Transcodifica!$A$5:$J$400,5,FALSE()),"NON MAPPATO"))</f>
        <v/>
      </c>
      <c r="J474" s="6" t="str">
        <f aca="false">IF($A474="","",IFERROR(VLOOKUP($A474,Transcodifica!$A$5:$J$400,7,FALSE()),""))</f>
        <v/>
      </c>
      <c r="K474" s="6" t="str">
        <f aca="false">IF($A474="","",IFERROR(VLOOKUP($A474,Transcodifica!$A$5:$J$400,8,FALSE()),""))</f>
        <v/>
      </c>
      <c r="L474" s="6" t="str">
        <f aca="false">IF($A474="","",IFERROR(VLOOKUP($A474,Transcodifica!$A$5:$J$400,9,FALSE()),""))</f>
        <v/>
      </c>
      <c r="M474" s="8" t="str">
        <f aca="false">IF($A474="","",IF($E474="APPROVATO",1,IF($E474="In svolgimento",IF($F474="",0,$F474),0)))</f>
        <v/>
      </c>
      <c r="N474" s="10" t="str">
        <f aca="false">IF(OR($A474="",$I474="NON MAPPATO",$I474=""),"",$L474*$M474)</f>
        <v/>
      </c>
    </row>
    <row r="475" customFormat="false" ht="15" hidden="false" customHeight="false" outlineLevel="0" collapsed="false">
      <c r="A475" s="6"/>
      <c r="B475" s="7"/>
      <c r="C475" s="6"/>
      <c r="D475" s="6"/>
      <c r="E475" s="6"/>
      <c r="F475" s="8"/>
      <c r="G475" s="9"/>
      <c r="H475" s="7"/>
      <c r="I475" s="6" t="str">
        <f aca="false">IF($A475="","",IFERROR(VLOOKUP($A475,Transcodifica!$A$5:$J$400,5,FALSE()),"NON MAPPATO"))</f>
        <v/>
      </c>
      <c r="J475" s="6" t="str">
        <f aca="false">IF($A475="","",IFERROR(VLOOKUP($A475,Transcodifica!$A$5:$J$400,7,FALSE()),""))</f>
        <v/>
      </c>
      <c r="K475" s="6" t="str">
        <f aca="false">IF($A475="","",IFERROR(VLOOKUP($A475,Transcodifica!$A$5:$J$400,8,FALSE()),""))</f>
        <v/>
      </c>
      <c r="L475" s="6" t="str">
        <f aca="false">IF($A475="","",IFERROR(VLOOKUP($A475,Transcodifica!$A$5:$J$400,9,FALSE()),""))</f>
        <v/>
      </c>
      <c r="M475" s="8" t="str">
        <f aca="false">IF($A475="","",IF($E475="APPROVATO",1,IF($E475="In svolgimento",IF($F475="",0,$F475),0)))</f>
        <v/>
      </c>
      <c r="N475" s="10" t="str">
        <f aca="false">IF(OR($A475="",$I475="NON MAPPATO",$I475=""),"",$L475*$M475)</f>
        <v/>
      </c>
    </row>
    <row r="476" customFormat="false" ht="15" hidden="false" customHeight="false" outlineLevel="0" collapsed="false">
      <c r="A476" s="6"/>
      <c r="B476" s="7"/>
      <c r="C476" s="6"/>
      <c r="D476" s="6"/>
      <c r="E476" s="6"/>
      <c r="F476" s="8"/>
      <c r="G476" s="9"/>
      <c r="H476" s="7"/>
      <c r="I476" s="6" t="str">
        <f aca="false">IF($A476="","",IFERROR(VLOOKUP($A476,Transcodifica!$A$5:$J$400,5,FALSE()),"NON MAPPATO"))</f>
        <v/>
      </c>
      <c r="J476" s="6" t="str">
        <f aca="false">IF($A476="","",IFERROR(VLOOKUP($A476,Transcodifica!$A$5:$J$400,7,FALSE()),""))</f>
        <v/>
      </c>
      <c r="K476" s="6" t="str">
        <f aca="false">IF($A476="","",IFERROR(VLOOKUP($A476,Transcodifica!$A$5:$J$400,8,FALSE()),""))</f>
        <v/>
      </c>
      <c r="L476" s="6" t="str">
        <f aca="false">IF($A476="","",IFERROR(VLOOKUP($A476,Transcodifica!$A$5:$J$400,9,FALSE()),""))</f>
        <v/>
      </c>
      <c r="M476" s="8" t="str">
        <f aca="false">IF($A476="","",IF($E476="APPROVATO",1,IF($E476="In svolgimento",IF($F476="",0,$F476),0)))</f>
        <v/>
      </c>
      <c r="N476" s="10" t="str">
        <f aca="false">IF(OR($A476="",$I476="NON MAPPATO",$I476=""),"",$L476*$M476)</f>
        <v/>
      </c>
    </row>
    <row r="477" customFormat="false" ht="15" hidden="false" customHeight="false" outlineLevel="0" collapsed="false">
      <c r="A477" s="6"/>
      <c r="B477" s="7"/>
      <c r="C477" s="6"/>
      <c r="D477" s="6"/>
      <c r="E477" s="6"/>
      <c r="F477" s="8"/>
      <c r="G477" s="9"/>
      <c r="H477" s="7"/>
      <c r="I477" s="6" t="str">
        <f aca="false">IF($A477="","",IFERROR(VLOOKUP($A477,Transcodifica!$A$5:$J$400,5,FALSE()),"NON MAPPATO"))</f>
        <v/>
      </c>
      <c r="J477" s="6" t="str">
        <f aca="false">IF($A477="","",IFERROR(VLOOKUP($A477,Transcodifica!$A$5:$J$400,7,FALSE()),""))</f>
        <v/>
      </c>
      <c r="K477" s="6" t="str">
        <f aca="false">IF($A477="","",IFERROR(VLOOKUP($A477,Transcodifica!$A$5:$J$400,8,FALSE()),""))</f>
        <v/>
      </c>
      <c r="L477" s="6" t="str">
        <f aca="false">IF($A477="","",IFERROR(VLOOKUP($A477,Transcodifica!$A$5:$J$400,9,FALSE()),""))</f>
        <v/>
      </c>
      <c r="M477" s="8" t="str">
        <f aca="false">IF($A477="","",IF($E477="APPROVATO",1,IF($E477="In svolgimento",IF($F477="",0,$F477),0)))</f>
        <v/>
      </c>
      <c r="N477" s="10" t="str">
        <f aca="false">IF(OR($A477="",$I477="NON MAPPATO",$I477=""),"",$L477*$M477)</f>
        <v/>
      </c>
    </row>
    <row r="478" customFormat="false" ht="15" hidden="false" customHeight="false" outlineLevel="0" collapsed="false">
      <c r="A478" s="6"/>
      <c r="B478" s="7"/>
      <c r="C478" s="6"/>
      <c r="D478" s="6"/>
      <c r="E478" s="6"/>
      <c r="F478" s="8"/>
      <c r="G478" s="9"/>
      <c r="H478" s="7"/>
      <c r="I478" s="6" t="str">
        <f aca="false">IF($A478="","",IFERROR(VLOOKUP($A478,Transcodifica!$A$5:$J$400,5,FALSE()),"NON MAPPATO"))</f>
        <v/>
      </c>
      <c r="J478" s="6" t="str">
        <f aca="false">IF($A478="","",IFERROR(VLOOKUP($A478,Transcodifica!$A$5:$J$400,7,FALSE()),""))</f>
        <v/>
      </c>
      <c r="K478" s="6" t="str">
        <f aca="false">IF($A478="","",IFERROR(VLOOKUP($A478,Transcodifica!$A$5:$J$400,8,FALSE()),""))</f>
        <v/>
      </c>
      <c r="L478" s="6" t="str">
        <f aca="false">IF($A478="","",IFERROR(VLOOKUP($A478,Transcodifica!$A$5:$J$400,9,FALSE()),""))</f>
        <v/>
      </c>
      <c r="M478" s="8" t="str">
        <f aca="false">IF($A478="","",IF($E478="APPROVATO",1,IF($E478="In svolgimento",IF($F478="",0,$F478),0)))</f>
        <v/>
      </c>
      <c r="N478" s="10" t="str">
        <f aca="false">IF(OR($A478="",$I478="NON MAPPATO",$I478=""),"",$L478*$M478)</f>
        <v/>
      </c>
    </row>
    <row r="479" customFormat="false" ht="15" hidden="false" customHeight="false" outlineLevel="0" collapsed="false">
      <c r="A479" s="6"/>
      <c r="B479" s="7"/>
      <c r="C479" s="6"/>
      <c r="D479" s="6"/>
      <c r="E479" s="6"/>
      <c r="F479" s="8"/>
      <c r="G479" s="9"/>
      <c r="H479" s="7"/>
      <c r="I479" s="6" t="str">
        <f aca="false">IF($A479="","",IFERROR(VLOOKUP($A479,Transcodifica!$A$5:$J$400,5,FALSE()),"NON MAPPATO"))</f>
        <v/>
      </c>
      <c r="J479" s="6" t="str">
        <f aca="false">IF($A479="","",IFERROR(VLOOKUP($A479,Transcodifica!$A$5:$J$400,7,FALSE()),""))</f>
        <v/>
      </c>
      <c r="K479" s="6" t="str">
        <f aca="false">IF($A479="","",IFERROR(VLOOKUP($A479,Transcodifica!$A$5:$J$400,8,FALSE()),""))</f>
        <v/>
      </c>
      <c r="L479" s="6" t="str">
        <f aca="false">IF($A479="","",IFERROR(VLOOKUP($A479,Transcodifica!$A$5:$J$400,9,FALSE()),""))</f>
        <v/>
      </c>
      <c r="M479" s="8" t="str">
        <f aca="false">IF($A479="","",IF($E479="APPROVATO",1,IF($E479="In svolgimento",IF($F479="",0,$F479),0)))</f>
        <v/>
      </c>
      <c r="N479" s="10" t="str">
        <f aca="false">IF(OR($A479="",$I479="NON MAPPATO",$I479=""),"",$L479*$M479)</f>
        <v/>
      </c>
    </row>
    <row r="480" customFormat="false" ht="15" hidden="false" customHeight="false" outlineLevel="0" collapsed="false">
      <c r="A480" s="6"/>
      <c r="B480" s="7"/>
      <c r="C480" s="6"/>
      <c r="D480" s="6"/>
      <c r="E480" s="6"/>
      <c r="F480" s="8"/>
      <c r="G480" s="9"/>
      <c r="H480" s="7"/>
      <c r="I480" s="6" t="str">
        <f aca="false">IF($A480="","",IFERROR(VLOOKUP($A480,Transcodifica!$A$5:$J$400,5,FALSE()),"NON MAPPATO"))</f>
        <v/>
      </c>
      <c r="J480" s="6" t="str">
        <f aca="false">IF($A480="","",IFERROR(VLOOKUP($A480,Transcodifica!$A$5:$J$400,7,FALSE()),""))</f>
        <v/>
      </c>
      <c r="K480" s="6" t="str">
        <f aca="false">IF($A480="","",IFERROR(VLOOKUP($A480,Transcodifica!$A$5:$J$400,8,FALSE()),""))</f>
        <v/>
      </c>
      <c r="L480" s="6" t="str">
        <f aca="false">IF($A480="","",IFERROR(VLOOKUP($A480,Transcodifica!$A$5:$J$400,9,FALSE()),""))</f>
        <v/>
      </c>
      <c r="M480" s="8" t="str">
        <f aca="false">IF($A480="","",IF($E480="APPROVATO",1,IF($E480="In svolgimento",IF($F480="",0,$F480),0)))</f>
        <v/>
      </c>
      <c r="N480" s="10" t="str">
        <f aca="false">IF(OR($A480="",$I480="NON MAPPATO",$I480=""),"",$L480*$M480)</f>
        <v/>
      </c>
    </row>
    <row r="481" customFormat="false" ht="15" hidden="false" customHeight="false" outlineLevel="0" collapsed="false">
      <c r="A481" s="6"/>
      <c r="B481" s="7"/>
      <c r="C481" s="6"/>
      <c r="D481" s="6"/>
      <c r="E481" s="6"/>
      <c r="F481" s="8"/>
      <c r="G481" s="9"/>
      <c r="H481" s="7"/>
      <c r="I481" s="6" t="str">
        <f aca="false">IF($A481="","",IFERROR(VLOOKUP($A481,Transcodifica!$A$5:$J$400,5,FALSE()),"NON MAPPATO"))</f>
        <v/>
      </c>
      <c r="J481" s="6" t="str">
        <f aca="false">IF($A481="","",IFERROR(VLOOKUP($A481,Transcodifica!$A$5:$J$400,7,FALSE()),""))</f>
        <v/>
      </c>
      <c r="K481" s="6" t="str">
        <f aca="false">IF($A481="","",IFERROR(VLOOKUP($A481,Transcodifica!$A$5:$J$400,8,FALSE()),""))</f>
        <v/>
      </c>
      <c r="L481" s="6" t="str">
        <f aca="false">IF($A481="","",IFERROR(VLOOKUP($A481,Transcodifica!$A$5:$J$400,9,FALSE()),""))</f>
        <v/>
      </c>
      <c r="M481" s="8" t="str">
        <f aca="false">IF($A481="","",IF($E481="APPROVATO",1,IF($E481="In svolgimento",IF($F481="",0,$F481),0)))</f>
        <v/>
      </c>
      <c r="N481" s="10" t="str">
        <f aca="false">IF(OR($A481="",$I481="NON MAPPATO",$I481=""),"",$L481*$M481)</f>
        <v/>
      </c>
    </row>
    <row r="482" customFormat="false" ht="15" hidden="false" customHeight="false" outlineLevel="0" collapsed="false">
      <c r="A482" s="6"/>
      <c r="B482" s="7"/>
      <c r="C482" s="6"/>
      <c r="D482" s="6"/>
      <c r="E482" s="6"/>
      <c r="F482" s="8"/>
      <c r="G482" s="9"/>
      <c r="H482" s="7"/>
      <c r="I482" s="6" t="str">
        <f aca="false">IF($A482="","",IFERROR(VLOOKUP($A482,Transcodifica!$A$5:$J$400,5,FALSE()),"NON MAPPATO"))</f>
        <v/>
      </c>
      <c r="J482" s="6" t="str">
        <f aca="false">IF($A482="","",IFERROR(VLOOKUP($A482,Transcodifica!$A$5:$J$400,7,FALSE()),""))</f>
        <v/>
      </c>
      <c r="K482" s="6" t="str">
        <f aca="false">IF($A482="","",IFERROR(VLOOKUP($A482,Transcodifica!$A$5:$J$400,8,FALSE()),""))</f>
        <v/>
      </c>
      <c r="L482" s="6" t="str">
        <f aca="false">IF($A482="","",IFERROR(VLOOKUP($A482,Transcodifica!$A$5:$J$400,9,FALSE()),""))</f>
        <v/>
      </c>
      <c r="M482" s="8" t="str">
        <f aca="false">IF($A482="","",IF($E482="APPROVATO",1,IF($E482="In svolgimento",IF($F482="",0,$F482),0)))</f>
        <v/>
      </c>
      <c r="N482" s="10" t="str">
        <f aca="false">IF(OR($A482="",$I482="NON MAPPATO",$I482=""),"",$L482*$M482)</f>
        <v/>
      </c>
    </row>
    <row r="483" customFormat="false" ht="15" hidden="false" customHeight="false" outlineLevel="0" collapsed="false">
      <c r="A483" s="6"/>
      <c r="B483" s="7"/>
      <c r="C483" s="6"/>
      <c r="D483" s="6"/>
      <c r="E483" s="6"/>
      <c r="F483" s="8"/>
      <c r="G483" s="9"/>
      <c r="H483" s="7"/>
      <c r="I483" s="6" t="str">
        <f aca="false">IF($A483="","",IFERROR(VLOOKUP($A483,Transcodifica!$A$5:$J$400,5,FALSE()),"NON MAPPATO"))</f>
        <v/>
      </c>
      <c r="J483" s="6" t="str">
        <f aca="false">IF($A483="","",IFERROR(VLOOKUP($A483,Transcodifica!$A$5:$J$400,7,FALSE()),""))</f>
        <v/>
      </c>
      <c r="K483" s="6" t="str">
        <f aca="false">IF($A483="","",IFERROR(VLOOKUP($A483,Transcodifica!$A$5:$J$400,8,FALSE()),""))</f>
        <v/>
      </c>
      <c r="L483" s="6" t="str">
        <f aca="false">IF($A483="","",IFERROR(VLOOKUP($A483,Transcodifica!$A$5:$J$400,9,FALSE()),""))</f>
        <v/>
      </c>
      <c r="M483" s="8" t="str">
        <f aca="false">IF($A483="","",IF($E483="APPROVATO",1,IF($E483="In svolgimento",IF($F483="",0,$F483),0)))</f>
        <v/>
      </c>
      <c r="N483" s="10" t="str">
        <f aca="false">IF(OR($A483="",$I483="NON MAPPATO",$I483=""),"",$L483*$M483)</f>
        <v/>
      </c>
    </row>
    <row r="484" customFormat="false" ht="15" hidden="false" customHeight="false" outlineLevel="0" collapsed="false">
      <c r="A484" s="6"/>
      <c r="B484" s="7"/>
      <c r="C484" s="6"/>
      <c r="D484" s="6"/>
      <c r="E484" s="6"/>
      <c r="F484" s="8"/>
      <c r="G484" s="9"/>
      <c r="H484" s="7"/>
      <c r="I484" s="6" t="str">
        <f aca="false">IF($A484="","",IFERROR(VLOOKUP($A484,Transcodifica!$A$5:$J$400,5,FALSE()),"NON MAPPATO"))</f>
        <v/>
      </c>
      <c r="J484" s="6" t="str">
        <f aca="false">IF($A484="","",IFERROR(VLOOKUP($A484,Transcodifica!$A$5:$J$400,7,FALSE()),""))</f>
        <v/>
      </c>
      <c r="K484" s="6" t="str">
        <f aca="false">IF($A484="","",IFERROR(VLOOKUP($A484,Transcodifica!$A$5:$J$400,8,FALSE()),""))</f>
        <v/>
      </c>
      <c r="L484" s="6" t="str">
        <f aca="false">IF($A484="","",IFERROR(VLOOKUP($A484,Transcodifica!$A$5:$J$400,9,FALSE()),""))</f>
        <v/>
      </c>
      <c r="M484" s="8" t="str">
        <f aca="false">IF($A484="","",IF($E484="APPROVATO",1,IF($E484="In svolgimento",IF($F484="",0,$F484),0)))</f>
        <v/>
      </c>
      <c r="N484" s="10" t="str">
        <f aca="false">IF(OR($A484="",$I484="NON MAPPATO",$I484=""),"",$L484*$M484)</f>
        <v/>
      </c>
    </row>
    <row r="485" customFormat="false" ht="15" hidden="false" customHeight="false" outlineLevel="0" collapsed="false">
      <c r="A485" s="6"/>
      <c r="B485" s="7"/>
      <c r="C485" s="6"/>
      <c r="D485" s="6"/>
      <c r="E485" s="6"/>
      <c r="F485" s="8"/>
      <c r="G485" s="9"/>
      <c r="H485" s="7"/>
      <c r="I485" s="6" t="str">
        <f aca="false">IF($A485="","",IFERROR(VLOOKUP($A485,Transcodifica!$A$5:$J$400,5,FALSE()),"NON MAPPATO"))</f>
        <v/>
      </c>
      <c r="J485" s="6" t="str">
        <f aca="false">IF($A485="","",IFERROR(VLOOKUP($A485,Transcodifica!$A$5:$J$400,7,FALSE()),""))</f>
        <v/>
      </c>
      <c r="K485" s="6" t="str">
        <f aca="false">IF($A485="","",IFERROR(VLOOKUP($A485,Transcodifica!$A$5:$J$400,8,FALSE()),""))</f>
        <v/>
      </c>
      <c r="L485" s="6" t="str">
        <f aca="false">IF($A485="","",IFERROR(VLOOKUP($A485,Transcodifica!$A$5:$J$400,9,FALSE()),""))</f>
        <v/>
      </c>
      <c r="M485" s="8" t="str">
        <f aca="false">IF($A485="","",IF($E485="APPROVATO",1,IF($E485="In svolgimento",IF($F485="",0,$F485),0)))</f>
        <v/>
      </c>
      <c r="N485" s="10" t="str">
        <f aca="false">IF(OR($A485="",$I485="NON MAPPATO",$I485=""),"",$L485*$M485)</f>
        <v/>
      </c>
    </row>
    <row r="486" customFormat="false" ht="15" hidden="false" customHeight="false" outlineLevel="0" collapsed="false">
      <c r="A486" s="6"/>
      <c r="B486" s="7"/>
      <c r="C486" s="6"/>
      <c r="D486" s="6"/>
      <c r="E486" s="6"/>
      <c r="F486" s="8"/>
      <c r="G486" s="9"/>
      <c r="H486" s="7"/>
      <c r="I486" s="6" t="str">
        <f aca="false">IF($A486="","",IFERROR(VLOOKUP($A486,Transcodifica!$A$5:$J$400,5,FALSE()),"NON MAPPATO"))</f>
        <v/>
      </c>
      <c r="J486" s="6" t="str">
        <f aca="false">IF($A486="","",IFERROR(VLOOKUP($A486,Transcodifica!$A$5:$J$400,7,FALSE()),""))</f>
        <v/>
      </c>
      <c r="K486" s="6" t="str">
        <f aca="false">IF($A486="","",IFERROR(VLOOKUP($A486,Transcodifica!$A$5:$J$400,8,FALSE()),""))</f>
        <v/>
      </c>
      <c r="L486" s="6" t="str">
        <f aca="false">IF($A486="","",IFERROR(VLOOKUP($A486,Transcodifica!$A$5:$J$400,9,FALSE()),""))</f>
        <v/>
      </c>
      <c r="M486" s="8" t="str">
        <f aca="false">IF($A486="","",IF($E486="APPROVATO",1,IF($E486="In svolgimento",IF($F486="",0,$F486),0)))</f>
        <v/>
      </c>
      <c r="N486" s="10" t="str">
        <f aca="false">IF(OR($A486="",$I486="NON MAPPATO",$I486=""),"",$L486*$M486)</f>
        <v/>
      </c>
    </row>
    <row r="487" customFormat="false" ht="15" hidden="false" customHeight="false" outlineLevel="0" collapsed="false">
      <c r="A487" s="6"/>
      <c r="B487" s="7"/>
      <c r="C487" s="6"/>
      <c r="D487" s="6"/>
      <c r="E487" s="6"/>
      <c r="F487" s="8"/>
      <c r="G487" s="9"/>
      <c r="H487" s="7"/>
      <c r="I487" s="6" t="str">
        <f aca="false">IF($A487="","",IFERROR(VLOOKUP($A487,Transcodifica!$A$5:$J$400,5,FALSE()),"NON MAPPATO"))</f>
        <v/>
      </c>
      <c r="J487" s="6" t="str">
        <f aca="false">IF($A487="","",IFERROR(VLOOKUP($A487,Transcodifica!$A$5:$J$400,7,FALSE()),""))</f>
        <v/>
      </c>
      <c r="K487" s="6" t="str">
        <f aca="false">IF($A487="","",IFERROR(VLOOKUP($A487,Transcodifica!$A$5:$J$400,8,FALSE()),""))</f>
        <v/>
      </c>
      <c r="L487" s="6" t="str">
        <f aca="false">IF($A487="","",IFERROR(VLOOKUP($A487,Transcodifica!$A$5:$J$400,9,FALSE()),""))</f>
        <v/>
      </c>
      <c r="M487" s="8" t="str">
        <f aca="false">IF($A487="","",IF($E487="APPROVATO",1,IF($E487="In svolgimento",IF($F487="",0,$F487),0)))</f>
        <v/>
      </c>
      <c r="N487" s="10" t="str">
        <f aca="false">IF(OR($A487="",$I487="NON MAPPATO",$I487=""),"",$L487*$M487)</f>
        <v/>
      </c>
    </row>
    <row r="488" customFormat="false" ht="15" hidden="false" customHeight="false" outlineLevel="0" collapsed="false">
      <c r="A488" s="6"/>
      <c r="B488" s="7"/>
      <c r="C488" s="6"/>
      <c r="D488" s="6"/>
      <c r="E488" s="6"/>
      <c r="F488" s="8"/>
      <c r="G488" s="9"/>
      <c r="H488" s="7"/>
      <c r="I488" s="6" t="str">
        <f aca="false">IF($A488="","",IFERROR(VLOOKUP($A488,Transcodifica!$A$5:$J$400,5,FALSE()),"NON MAPPATO"))</f>
        <v/>
      </c>
      <c r="J488" s="6" t="str">
        <f aca="false">IF($A488="","",IFERROR(VLOOKUP($A488,Transcodifica!$A$5:$J$400,7,FALSE()),""))</f>
        <v/>
      </c>
      <c r="K488" s="6" t="str">
        <f aca="false">IF($A488="","",IFERROR(VLOOKUP($A488,Transcodifica!$A$5:$J$400,8,FALSE()),""))</f>
        <v/>
      </c>
      <c r="L488" s="6" t="str">
        <f aca="false">IF($A488="","",IFERROR(VLOOKUP($A488,Transcodifica!$A$5:$J$400,9,FALSE()),""))</f>
        <v/>
      </c>
      <c r="M488" s="8" t="str">
        <f aca="false">IF($A488="","",IF($E488="APPROVATO",1,IF($E488="In svolgimento",IF($F488="",0,$F488),0)))</f>
        <v/>
      </c>
      <c r="N488" s="10" t="str">
        <f aca="false">IF(OR($A488="",$I488="NON MAPPATO",$I488=""),"",$L488*$M488)</f>
        <v/>
      </c>
    </row>
    <row r="489" customFormat="false" ht="15" hidden="false" customHeight="false" outlineLevel="0" collapsed="false">
      <c r="A489" s="6"/>
      <c r="B489" s="7"/>
      <c r="C489" s="6"/>
      <c r="D489" s="6"/>
      <c r="E489" s="6"/>
      <c r="F489" s="8"/>
      <c r="G489" s="9"/>
      <c r="H489" s="7"/>
      <c r="I489" s="6" t="str">
        <f aca="false">IF($A489="","",IFERROR(VLOOKUP($A489,Transcodifica!$A$5:$J$400,5,FALSE()),"NON MAPPATO"))</f>
        <v/>
      </c>
      <c r="J489" s="6" t="str">
        <f aca="false">IF($A489="","",IFERROR(VLOOKUP($A489,Transcodifica!$A$5:$J$400,7,FALSE()),""))</f>
        <v/>
      </c>
      <c r="K489" s="6" t="str">
        <f aca="false">IF($A489="","",IFERROR(VLOOKUP($A489,Transcodifica!$A$5:$J$400,8,FALSE()),""))</f>
        <v/>
      </c>
      <c r="L489" s="6" t="str">
        <f aca="false">IF($A489="","",IFERROR(VLOOKUP($A489,Transcodifica!$A$5:$J$400,9,FALSE()),""))</f>
        <v/>
      </c>
      <c r="M489" s="8" t="str">
        <f aca="false">IF($A489="","",IF($E489="APPROVATO",1,IF($E489="In svolgimento",IF($F489="",0,$F489),0)))</f>
        <v/>
      </c>
      <c r="N489" s="10" t="str">
        <f aca="false">IF(OR($A489="",$I489="NON MAPPATO",$I489=""),"",$L489*$M489)</f>
        <v/>
      </c>
    </row>
    <row r="490" customFormat="false" ht="15" hidden="false" customHeight="false" outlineLevel="0" collapsed="false">
      <c r="A490" s="6"/>
      <c r="B490" s="7"/>
      <c r="C490" s="6"/>
      <c r="D490" s="6"/>
      <c r="E490" s="6"/>
      <c r="F490" s="8"/>
      <c r="G490" s="9"/>
      <c r="H490" s="7"/>
      <c r="I490" s="6" t="str">
        <f aca="false">IF($A490="","",IFERROR(VLOOKUP($A490,Transcodifica!$A$5:$J$400,5,FALSE()),"NON MAPPATO"))</f>
        <v/>
      </c>
      <c r="J490" s="6" t="str">
        <f aca="false">IF($A490="","",IFERROR(VLOOKUP($A490,Transcodifica!$A$5:$J$400,7,FALSE()),""))</f>
        <v/>
      </c>
      <c r="K490" s="6" t="str">
        <f aca="false">IF($A490="","",IFERROR(VLOOKUP($A490,Transcodifica!$A$5:$J$400,8,FALSE()),""))</f>
        <v/>
      </c>
      <c r="L490" s="6" t="str">
        <f aca="false">IF($A490="","",IFERROR(VLOOKUP($A490,Transcodifica!$A$5:$J$400,9,FALSE()),""))</f>
        <v/>
      </c>
      <c r="M490" s="8" t="str">
        <f aca="false">IF($A490="","",IF($E490="APPROVATO",1,IF($E490="In svolgimento",IF($F490="",0,$F490),0)))</f>
        <v/>
      </c>
      <c r="N490" s="10" t="str">
        <f aca="false">IF(OR($A490="",$I490="NON MAPPATO",$I490=""),"",$L490*$M490)</f>
        <v/>
      </c>
    </row>
    <row r="491" customFormat="false" ht="15" hidden="false" customHeight="false" outlineLevel="0" collapsed="false">
      <c r="A491" s="6"/>
      <c r="B491" s="7"/>
      <c r="C491" s="6"/>
      <c r="D491" s="6"/>
      <c r="E491" s="6"/>
      <c r="F491" s="8"/>
      <c r="G491" s="9"/>
      <c r="H491" s="7"/>
      <c r="I491" s="6" t="str">
        <f aca="false">IF($A491="","",IFERROR(VLOOKUP($A491,Transcodifica!$A$5:$J$400,5,FALSE()),"NON MAPPATO"))</f>
        <v/>
      </c>
      <c r="J491" s="6" t="str">
        <f aca="false">IF($A491="","",IFERROR(VLOOKUP($A491,Transcodifica!$A$5:$J$400,7,FALSE()),""))</f>
        <v/>
      </c>
      <c r="K491" s="6" t="str">
        <f aca="false">IF($A491="","",IFERROR(VLOOKUP($A491,Transcodifica!$A$5:$J$400,8,FALSE()),""))</f>
        <v/>
      </c>
      <c r="L491" s="6" t="str">
        <f aca="false">IF($A491="","",IFERROR(VLOOKUP($A491,Transcodifica!$A$5:$J$400,9,FALSE()),""))</f>
        <v/>
      </c>
      <c r="M491" s="8" t="str">
        <f aca="false">IF($A491="","",IF($E491="APPROVATO",1,IF($E491="In svolgimento",IF($F491="",0,$F491),0)))</f>
        <v/>
      </c>
      <c r="N491" s="10" t="str">
        <f aca="false">IF(OR($A491="",$I491="NON MAPPATO",$I491=""),"",$L491*$M491)</f>
        <v/>
      </c>
    </row>
    <row r="492" customFormat="false" ht="15" hidden="false" customHeight="false" outlineLevel="0" collapsed="false">
      <c r="A492" s="6"/>
      <c r="B492" s="7"/>
      <c r="C492" s="6"/>
      <c r="D492" s="6"/>
      <c r="E492" s="6"/>
      <c r="F492" s="8"/>
      <c r="G492" s="9"/>
      <c r="H492" s="7"/>
      <c r="I492" s="6" t="str">
        <f aca="false">IF($A492="","",IFERROR(VLOOKUP($A492,Transcodifica!$A$5:$J$400,5,FALSE()),"NON MAPPATO"))</f>
        <v/>
      </c>
      <c r="J492" s="6" t="str">
        <f aca="false">IF($A492="","",IFERROR(VLOOKUP($A492,Transcodifica!$A$5:$J$400,7,FALSE()),""))</f>
        <v/>
      </c>
      <c r="K492" s="6" t="str">
        <f aca="false">IF($A492="","",IFERROR(VLOOKUP($A492,Transcodifica!$A$5:$J$400,8,FALSE()),""))</f>
        <v/>
      </c>
      <c r="L492" s="6" t="str">
        <f aca="false">IF($A492="","",IFERROR(VLOOKUP($A492,Transcodifica!$A$5:$J$400,9,FALSE()),""))</f>
        <v/>
      </c>
      <c r="M492" s="8" t="str">
        <f aca="false">IF($A492="","",IF($E492="APPROVATO",1,IF($E492="In svolgimento",IF($F492="",0,$F492),0)))</f>
        <v/>
      </c>
      <c r="N492" s="10" t="str">
        <f aca="false">IF(OR($A492="",$I492="NON MAPPATO",$I492=""),"",$L492*$M492)</f>
        <v/>
      </c>
    </row>
    <row r="493" customFormat="false" ht="15" hidden="false" customHeight="false" outlineLevel="0" collapsed="false">
      <c r="A493" s="6"/>
      <c r="B493" s="7"/>
      <c r="C493" s="6"/>
      <c r="D493" s="6"/>
      <c r="E493" s="6"/>
      <c r="F493" s="8"/>
      <c r="G493" s="9"/>
      <c r="H493" s="7"/>
      <c r="I493" s="6" t="str">
        <f aca="false">IF($A493="","",IFERROR(VLOOKUP($A493,Transcodifica!$A$5:$J$400,5,FALSE()),"NON MAPPATO"))</f>
        <v/>
      </c>
      <c r="J493" s="6" t="str">
        <f aca="false">IF($A493="","",IFERROR(VLOOKUP($A493,Transcodifica!$A$5:$J$400,7,FALSE()),""))</f>
        <v/>
      </c>
      <c r="K493" s="6" t="str">
        <f aca="false">IF($A493="","",IFERROR(VLOOKUP($A493,Transcodifica!$A$5:$J$400,8,FALSE()),""))</f>
        <v/>
      </c>
      <c r="L493" s="6" t="str">
        <f aca="false">IF($A493="","",IFERROR(VLOOKUP($A493,Transcodifica!$A$5:$J$400,9,FALSE()),""))</f>
        <v/>
      </c>
      <c r="M493" s="8" t="str">
        <f aca="false">IF($A493="","",IF($E493="APPROVATO",1,IF($E493="In svolgimento",IF($F493="",0,$F493),0)))</f>
        <v/>
      </c>
      <c r="N493" s="10" t="str">
        <f aca="false">IF(OR($A493="",$I493="NON MAPPATO",$I493=""),"",$L493*$M493)</f>
        <v/>
      </c>
    </row>
    <row r="494" customFormat="false" ht="15" hidden="false" customHeight="false" outlineLevel="0" collapsed="false">
      <c r="A494" s="6"/>
      <c r="B494" s="7"/>
      <c r="C494" s="6"/>
      <c r="D494" s="6"/>
      <c r="E494" s="6"/>
      <c r="F494" s="8"/>
      <c r="G494" s="9"/>
      <c r="H494" s="7"/>
      <c r="I494" s="6" t="str">
        <f aca="false">IF($A494="","",IFERROR(VLOOKUP($A494,Transcodifica!$A$5:$J$400,5,FALSE()),"NON MAPPATO"))</f>
        <v/>
      </c>
      <c r="J494" s="6" t="str">
        <f aca="false">IF($A494="","",IFERROR(VLOOKUP($A494,Transcodifica!$A$5:$J$400,7,FALSE()),""))</f>
        <v/>
      </c>
      <c r="K494" s="6" t="str">
        <f aca="false">IF($A494="","",IFERROR(VLOOKUP($A494,Transcodifica!$A$5:$J$400,8,FALSE()),""))</f>
        <v/>
      </c>
      <c r="L494" s="6" t="str">
        <f aca="false">IF($A494="","",IFERROR(VLOOKUP($A494,Transcodifica!$A$5:$J$400,9,FALSE()),""))</f>
        <v/>
      </c>
      <c r="M494" s="8" t="str">
        <f aca="false">IF($A494="","",IF($E494="APPROVATO",1,IF($E494="In svolgimento",IF($F494="",0,$F494),0)))</f>
        <v/>
      </c>
      <c r="N494" s="10" t="str">
        <f aca="false">IF(OR($A494="",$I494="NON MAPPATO",$I494=""),"",$L494*$M494)</f>
        <v/>
      </c>
    </row>
    <row r="495" customFormat="false" ht="15" hidden="false" customHeight="false" outlineLevel="0" collapsed="false">
      <c r="A495" s="6"/>
      <c r="B495" s="7"/>
      <c r="C495" s="6"/>
      <c r="D495" s="6"/>
      <c r="E495" s="6"/>
      <c r="F495" s="8"/>
      <c r="G495" s="9"/>
      <c r="H495" s="7"/>
      <c r="I495" s="6" t="str">
        <f aca="false">IF($A495="","",IFERROR(VLOOKUP($A495,Transcodifica!$A$5:$J$400,5,FALSE()),"NON MAPPATO"))</f>
        <v/>
      </c>
      <c r="J495" s="6" t="str">
        <f aca="false">IF($A495="","",IFERROR(VLOOKUP($A495,Transcodifica!$A$5:$J$400,7,FALSE()),""))</f>
        <v/>
      </c>
      <c r="K495" s="6" t="str">
        <f aca="false">IF($A495="","",IFERROR(VLOOKUP($A495,Transcodifica!$A$5:$J$400,8,FALSE()),""))</f>
        <v/>
      </c>
      <c r="L495" s="6" t="str">
        <f aca="false">IF($A495="","",IFERROR(VLOOKUP($A495,Transcodifica!$A$5:$J$400,9,FALSE()),""))</f>
        <v/>
      </c>
      <c r="M495" s="8" t="str">
        <f aca="false">IF($A495="","",IF($E495="APPROVATO",1,IF($E495="In svolgimento",IF($F495="",0,$F495),0)))</f>
        <v/>
      </c>
      <c r="N495" s="10" t="str">
        <f aca="false">IF(OR($A495="",$I495="NON MAPPATO",$I495=""),"",$L495*$M495)</f>
        <v/>
      </c>
    </row>
    <row r="496" customFormat="false" ht="15" hidden="false" customHeight="false" outlineLevel="0" collapsed="false">
      <c r="A496" s="6"/>
      <c r="B496" s="7"/>
      <c r="C496" s="6"/>
      <c r="D496" s="6"/>
      <c r="E496" s="6"/>
      <c r="F496" s="8"/>
      <c r="G496" s="9"/>
      <c r="H496" s="7"/>
      <c r="I496" s="6" t="str">
        <f aca="false">IF($A496="","",IFERROR(VLOOKUP($A496,Transcodifica!$A$5:$J$400,5,FALSE()),"NON MAPPATO"))</f>
        <v/>
      </c>
      <c r="J496" s="6" t="str">
        <f aca="false">IF($A496="","",IFERROR(VLOOKUP($A496,Transcodifica!$A$5:$J$400,7,FALSE()),""))</f>
        <v/>
      </c>
      <c r="K496" s="6" t="str">
        <f aca="false">IF($A496="","",IFERROR(VLOOKUP($A496,Transcodifica!$A$5:$J$400,8,FALSE()),""))</f>
        <v/>
      </c>
      <c r="L496" s="6" t="str">
        <f aca="false">IF($A496="","",IFERROR(VLOOKUP($A496,Transcodifica!$A$5:$J$400,9,FALSE()),""))</f>
        <v/>
      </c>
      <c r="M496" s="8" t="str">
        <f aca="false">IF($A496="","",IF($E496="APPROVATO",1,IF($E496="In svolgimento",IF($F496="",0,$F496),0)))</f>
        <v/>
      </c>
      <c r="N496" s="10" t="str">
        <f aca="false">IF(OR($A496="",$I496="NON MAPPATO",$I496=""),"",$L496*$M496)</f>
        <v/>
      </c>
    </row>
    <row r="497" customFormat="false" ht="15" hidden="false" customHeight="false" outlineLevel="0" collapsed="false">
      <c r="A497" s="6"/>
      <c r="B497" s="7"/>
      <c r="C497" s="6"/>
      <c r="D497" s="6"/>
      <c r="E497" s="6"/>
      <c r="F497" s="8"/>
      <c r="G497" s="9"/>
      <c r="H497" s="7"/>
      <c r="I497" s="6" t="str">
        <f aca="false">IF($A497="","",IFERROR(VLOOKUP($A497,Transcodifica!$A$5:$J$400,5,FALSE()),"NON MAPPATO"))</f>
        <v/>
      </c>
      <c r="J497" s="6" t="str">
        <f aca="false">IF($A497="","",IFERROR(VLOOKUP($A497,Transcodifica!$A$5:$J$400,7,FALSE()),""))</f>
        <v/>
      </c>
      <c r="K497" s="6" t="str">
        <f aca="false">IF($A497="","",IFERROR(VLOOKUP($A497,Transcodifica!$A$5:$J$400,8,FALSE()),""))</f>
        <v/>
      </c>
      <c r="L497" s="6" t="str">
        <f aca="false">IF($A497="","",IFERROR(VLOOKUP($A497,Transcodifica!$A$5:$J$400,9,FALSE()),""))</f>
        <v/>
      </c>
      <c r="M497" s="8" t="str">
        <f aca="false">IF($A497="","",IF($E497="APPROVATO",1,IF($E497="In svolgimento",IF($F497="",0,$F497),0)))</f>
        <v/>
      </c>
      <c r="N497" s="10" t="str">
        <f aca="false">IF(OR($A497="",$I497="NON MAPPATO",$I497=""),"",$L497*$M497)</f>
        <v/>
      </c>
    </row>
    <row r="498" customFormat="false" ht="15" hidden="false" customHeight="false" outlineLevel="0" collapsed="false">
      <c r="A498" s="6"/>
      <c r="B498" s="7"/>
      <c r="C498" s="6"/>
      <c r="D498" s="6"/>
      <c r="E498" s="6"/>
      <c r="F498" s="8"/>
      <c r="G498" s="9"/>
      <c r="H498" s="7"/>
      <c r="I498" s="6" t="str">
        <f aca="false">IF($A498="","",IFERROR(VLOOKUP($A498,Transcodifica!$A$5:$J$400,5,FALSE()),"NON MAPPATO"))</f>
        <v/>
      </c>
      <c r="J498" s="6" t="str">
        <f aca="false">IF($A498="","",IFERROR(VLOOKUP($A498,Transcodifica!$A$5:$J$400,7,FALSE()),""))</f>
        <v/>
      </c>
      <c r="K498" s="6" t="str">
        <f aca="false">IF($A498="","",IFERROR(VLOOKUP($A498,Transcodifica!$A$5:$J$400,8,FALSE()),""))</f>
        <v/>
      </c>
      <c r="L498" s="6" t="str">
        <f aca="false">IF($A498="","",IFERROR(VLOOKUP($A498,Transcodifica!$A$5:$J$400,9,FALSE()),""))</f>
        <v/>
      </c>
      <c r="M498" s="8" t="str">
        <f aca="false">IF($A498="","",IF($E498="APPROVATO",1,IF($E498="In svolgimento",IF($F498="",0,$F498),0)))</f>
        <v/>
      </c>
      <c r="N498" s="10" t="str">
        <f aca="false">IF(OR($A498="",$I498="NON MAPPATO",$I498=""),"",$L498*$M498)</f>
        <v/>
      </c>
    </row>
    <row r="499" customFormat="false" ht="15" hidden="false" customHeight="false" outlineLevel="0" collapsed="false">
      <c r="A499" s="6"/>
      <c r="B499" s="7"/>
      <c r="C499" s="6"/>
      <c r="D499" s="6"/>
      <c r="E499" s="6"/>
      <c r="F499" s="8"/>
      <c r="G499" s="9"/>
      <c r="H499" s="7"/>
      <c r="I499" s="6" t="str">
        <f aca="false">IF($A499="","",IFERROR(VLOOKUP($A499,Transcodifica!$A$5:$J$400,5,FALSE()),"NON MAPPATO"))</f>
        <v/>
      </c>
      <c r="J499" s="6" t="str">
        <f aca="false">IF($A499="","",IFERROR(VLOOKUP($A499,Transcodifica!$A$5:$J$400,7,FALSE()),""))</f>
        <v/>
      </c>
      <c r="K499" s="6" t="str">
        <f aca="false">IF($A499="","",IFERROR(VLOOKUP($A499,Transcodifica!$A$5:$J$400,8,FALSE()),""))</f>
        <v/>
      </c>
      <c r="L499" s="6" t="str">
        <f aca="false">IF($A499="","",IFERROR(VLOOKUP($A499,Transcodifica!$A$5:$J$400,9,FALSE()),""))</f>
        <v/>
      </c>
      <c r="M499" s="8" t="str">
        <f aca="false">IF($A499="","",IF($E499="APPROVATO",1,IF($E499="In svolgimento",IF($F499="",0,$F499),0)))</f>
        <v/>
      </c>
      <c r="N499" s="10" t="str">
        <f aca="false">IF(OR($A499="",$I499="NON MAPPATO",$I499=""),"",$L499*$M499)</f>
        <v/>
      </c>
    </row>
    <row r="500" customFormat="false" ht="15" hidden="false" customHeight="false" outlineLevel="0" collapsed="false">
      <c r="A500" s="6"/>
      <c r="B500" s="7"/>
      <c r="C500" s="6"/>
      <c r="D500" s="6"/>
      <c r="E500" s="6"/>
      <c r="F500" s="8"/>
      <c r="G500" s="9"/>
      <c r="H500" s="7"/>
      <c r="I500" s="6" t="str">
        <f aca="false">IF($A500="","",IFERROR(VLOOKUP($A500,Transcodifica!$A$5:$J$400,5,FALSE()),"NON MAPPATO"))</f>
        <v/>
      </c>
      <c r="J500" s="6" t="str">
        <f aca="false">IF($A500="","",IFERROR(VLOOKUP($A500,Transcodifica!$A$5:$J$400,7,FALSE()),""))</f>
        <v/>
      </c>
      <c r="K500" s="6" t="str">
        <f aca="false">IF($A500="","",IFERROR(VLOOKUP($A500,Transcodifica!$A$5:$J$400,8,FALSE()),""))</f>
        <v/>
      </c>
      <c r="L500" s="6" t="str">
        <f aca="false">IF($A500="","",IFERROR(VLOOKUP($A500,Transcodifica!$A$5:$J$400,9,FALSE()),""))</f>
        <v/>
      </c>
      <c r="M500" s="8" t="str">
        <f aca="false">IF($A500="","",IF($E500="APPROVATO",1,IF($E500="In svolgimento",IF($F500="",0,$F500),0)))</f>
        <v/>
      </c>
      <c r="N500" s="10" t="str">
        <f aca="false">IF(OR($A500="",$I500="NON MAPPATO",$I500=""),"",$L500*$M500)</f>
        <v/>
      </c>
    </row>
    <row r="501" customFormat="false" ht="15" hidden="false" customHeight="false" outlineLevel="0" collapsed="false">
      <c r="A501" s="6"/>
      <c r="B501" s="7"/>
      <c r="C501" s="6"/>
      <c r="D501" s="6"/>
      <c r="E501" s="6"/>
      <c r="F501" s="8"/>
      <c r="G501" s="9"/>
      <c r="H501" s="7"/>
      <c r="I501" s="6" t="str">
        <f aca="false">IF($A501="","",IFERROR(VLOOKUP($A501,Transcodifica!$A$5:$J$400,5,FALSE()),"NON MAPPATO"))</f>
        <v/>
      </c>
      <c r="J501" s="6" t="str">
        <f aca="false">IF($A501="","",IFERROR(VLOOKUP($A501,Transcodifica!$A$5:$J$400,7,FALSE()),""))</f>
        <v/>
      </c>
      <c r="K501" s="6" t="str">
        <f aca="false">IF($A501="","",IFERROR(VLOOKUP($A501,Transcodifica!$A$5:$J$400,8,FALSE()),""))</f>
        <v/>
      </c>
      <c r="L501" s="6" t="str">
        <f aca="false">IF($A501="","",IFERROR(VLOOKUP($A501,Transcodifica!$A$5:$J$400,9,FALSE()),""))</f>
        <v/>
      </c>
      <c r="M501" s="8" t="str">
        <f aca="false">IF($A501="","",IF($E501="APPROVATO",1,IF($E501="In svolgimento",IF($F501="",0,$F501),0)))</f>
        <v/>
      </c>
      <c r="N501" s="10" t="str">
        <f aca="false">IF(OR($A501="",$I501="NON MAPPATO",$I501=""),"",$L501*$M501)</f>
        <v/>
      </c>
    </row>
    <row r="502" customFormat="false" ht="15" hidden="false" customHeight="false" outlineLevel="0" collapsed="false">
      <c r="A502" s="6"/>
      <c r="B502" s="7"/>
      <c r="C502" s="6"/>
      <c r="D502" s="6"/>
      <c r="E502" s="6"/>
      <c r="F502" s="8"/>
      <c r="G502" s="9"/>
      <c r="H502" s="7"/>
      <c r="I502" s="6" t="str">
        <f aca="false">IF($A502="","",IFERROR(VLOOKUP($A502,Transcodifica!$A$5:$J$400,5,FALSE()),"NON MAPPATO"))</f>
        <v/>
      </c>
      <c r="J502" s="6" t="str">
        <f aca="false">IF($A502="","",IFERROR(VLOOKUP($A502,Transcodifica!$A$5:$J$400,7,FALSE()),""))</f>
        <v/>
      </c>
      <c r="K502" s="6" t="str">
        <f aca="false">IF($A502="","",IFERROR(VLOOKUP($A502,Transcodifica!$A$5:$J$400,8,FALSE()),""))</f>
        <v/>
      </c>
      <c r="L502" s="6" t="str">
        <f aca="false">IF($A502="","",IFERROR(VLOOKUP($A502,Transcodifica!$A$5:$J$400,9,FALSE()),""))</f>
        <v/>
      </c>
      <c r="M502" s="8" t="str">
        <f aca="false">IF($A502="","",IF($E502="APPROVATO",1,IF($E502="In svolgimento",IF($F502="",0,$F502),0)))</f>
        <v/>
      </c>
      <c r="N502" s="10" t="str">
        <f aca="false">IF(OR($A502="",$I502="NON MAPPATO",$I502=""),"",$L502*$M502)</f>
        <v/>
      </c>
    </row>
    <row r="503" customFormat="false" ht="15" hidden="false" customHeight="false" outlineLevel="0" collapsed="false">
      <c r="A503" s="6"/>
      <c r="B503" s="7"/>
      <c r="C503" s="6"/>
      <c r="D503" s="6"/>
      <c r="E503" s="6"/>
      <c r="F503" s="8"/>
      <c r="G503" s="9"/>
      <c r="H503" s="7"/>
      <c r="I503" s="6" t="str">
        <f aca="false">IF($A503="","",IFERROR(VLOOKUP($A503,Transcodifica!$A$5:$J$400,5,FALSE()),"NON MAPPATO"))</f>
        <v/>
      </c>
      <c r="J503" s="6" t="str">
        <f aca="false">IF($A503="","",IFERROR(VLOOKUP($A503,Transcodifica!$A$5:$J$400,7,FALSE()),""))</f>
        <v/>
      </c>
      <c r="K503" s="6" t="str">
        <f aca="false">IF($A503="","",IFERROR(VLOOKUP($A503,Transcodifica!$A$5:$J$400,8,FALSE()),""))</f>
        <v/>
      </c>
      <c r="L503" s="6" t="str">
        <f aca="false">IF($A503="","",IFERROR(VLOOKUP($A503,Transcodifica!$A$5:$J$400,9,FALSE()),""))</f>
        <v/>
      </c>
      <c r="M503" s="8" t="str">
        <f aca="false">IF($A503="","",IF($E503="APPROVATO",1,IF($E503="In svolgimento",IF($F503="",0,$F503),0)))</f>
        <v/>
      </c>
      <c r="N503" s="10" t="str">
        <f aca="false">IF(OR($A503="",$I503="NON MAPPATO",$I503=""),"",$L503*$M503)</f>
        <v/>
      </c>
    </row>
    <row r="504" customFormat="false" ht="15" hidden="false" customHeight="false" outlineLevel="0" collapsed="false">
      <c r="A504" s="6"/>
      <c r="B504" s="7"/>
      <c r="C504" s="6"/>
      <c r="D504" s="6"/>
      <c r="E504" s="6"/>
      <c r="F504" s="8"/>
      <c r="G504" s="9"/>
      <c r="H504" s="7"/>
      <c r="I504" s="6" t="str">
        <f aca="false">IF($A504="","",IFERROR(VLOOKUP($A504,Transcodifica!$A$5:$J$400,5,FALSE()),"NON MAPPATO"))</f>
        <v/>
      </c>
      <c r="J504" s="6" t="str">
        <f aca="false">IF($A504="","",IFERROR(VLOOKUP($A504,Transcodifica!$A$5:$J$400,7,FALSE()),""))</f>
        <v/>
      </c>
      <c r="K504" s="6" t="str">
        <f aca="false">IF($A504="","",IFERROR(VLOOKUP($A504,Transcodifica!$A$5:$J$400,8,FALSE()),""))</f>
        <v/>
      </c>
      <c r="L504" s="6" t="str">
        <f aca="false">IF($A504="","",IFERROR(VLOOKUP($A504,Transcodifica!$A$5:$J$400,9,FALSE()),""))</f>
        <v/>
      </c>
      <c r="M504" s="8" t="str">
        <f aca="false">IF($A504="","",IF($E504="APPROVATO",1,IF($E504="In svolgimento",IF($F504="",0,$F504),0)))</f>
        <v/>
      </c>
      <c r="N504" s="10" t="str">
        <f aca="false">IF(OR($A504="",$I504="NON MAPPATO",$I504=""),"",$L504*$M504)</f>
        <v/>
      </c>
    </row>
    <row r="505" customFormat="false" ht="15" hidden="false" customHeight="false" outlineLevel="0" collapsed="false">
      <c r="A505" s="6"/>
      <c r="B505" s="7"/>
      <c r="C505" s="6"/>
      <c r="D505" s="6"/>
      <c r="E505" s="6"/>
      <c r="F505" s="8"/>
      <c r="G505" s="9"/>
      <c r="H505" s="7"/>
      <c r="I505" s="6" t="str">
        <f aca="false">IF($A505="","",IFERROR(VLOOKUP($A505,Transcodifica!$A$5:$J$400,5,FALSE()),"NON MAPPATO"))</f>
        <v/>
      </c>
      <c r="J505" s="6" t="str">
        <f aca="false">IF($A505="","",IFERROR(VLOOKUP($A505,Transcodifica!$A$5:$J$400,7,FALSE()),""))</f>
        <v/>
      </c>
      <c r="K505" s="6" t="str">
        <f aca="false">IF($A505="","",IFERROR(VLOOKUP($A505,Transcodifica!$A$5:$J$400,8,FALSE()),""))</f>
        <v/>
      </c>
      <c r="L505" s="6" t="str">
        <f aca="false">IF($A505="","",IFERROR(VLOOKUP($A505,Transcodifica!$A$5:$J$400,9,FALSE()),""))</f>
        <v/>
      </c>
      <c r="M505" s="8" t="str">
        <f aca="false">IF($A505="","",IF($E505="APPROVATO",1,IF($E505="In svolgimento",IF($F505="",0,$F505),0)))</f>
        <v/>
      </c>
      <c r="N505" s="10" t="str">
        <f aca="false">IF(OR($A505="",$I505="NON MAPPATO",$I505=""),"",$L505*$M505)</f>
        <v/>
      </c>
    </row>
    <row r="506" customFormat="false" ht="15" hidden="false" customHeight="false" outlineLevel="0" collapsed="false">
      <c r="A506" s="6"/>
      <c r="B506" s="7"/>
      <c r="C506" s="6"/>
      <c r="D506" s="6"/>
      <c r="E506" s="6"/>
      <c r="F506" s="8"/>
      <c r="G506" s="9"/>
      <c r="H506" s="7"/>
      <c r="I506" s="6" t="str">
        <f aca="false">IF($A506="","",IFERROR(VLOOKUP($A506,Transcodifica!$A$5:$J$400,5,FALSE()),"NON MAPPATO"))</f>
        <v/>
      </c>
      <c r="J506" s="6" t="str">
        <f aca="false">IF($A506="","",IFERROR(VLOOKUP($A506,Transcodifica!$A$5:$J$400,7,FALSE()),""))</f>
        <v/>
      </c>
      <c r="K506" s="6" t="str">
        <f aca="false">IF($A506="","",IFERROR(VLOOKUP($A506,Transcodifica!$A$5:$J$400,8,FALSE()),""))</f>
        <v/>
      </c>
      <c r="L506" s="6" t="str">
        <f aca="false">IF($A506="","",IFERROR(VLOOKUP($A506,Transcodifica!$A$5:$J$400,9,FALSE()),""))</f>
        <v/>
      </c>
      <c r="M506" s="8" t="str">
        <f aca="false">IF($A506="","",IF($E506="APPROVATO",1,IF($E506="In svolgimento",IF($F506="",0,$F506),0)))</f>
        <v/>
      </c>
      <c r="N506" s="10" t="str">
        <f aca="false">IF(OR($A506="",$I506="NON MAPPATO",$I506=""),"",$L506*$M506)</f>
        <v/>
      </c>
    </row>
    <row r="507" customFormat="false" ht="15" hidden="false" customHeight="false" outlineLevel="0" collapsed="false">
      <c r="A507" s="6"/>
      <c r="B507" s="7"/>
      <c r="C507" s="6"/>
      <c r="D507" s="6"/>
      <c r="E507" s="6"/>
      <c r="F507" s="8"/>
      <c r="G507" s="9"/>
      <c r="H507" s="7"/>
      <c r="I507" s="6" t="str">
        <f aca="false">IF($A507="","",IFERROR(VLOOKUP($A507,Transcodifica!$A$5:$J$400,5,FALSE()),"NON MAPPATO"))</f>
        <v/>
      </c>
      <c r="J507" s="6" t="str">
        <f aca="false">IF($A507="","",IFERROR(VLOOKUP($A507,Transcodifica!$A$5:$J$400,7,FALSE()),""))</f>
        <v/>
      </c>
      <c r="K507" s="6" t="str">
        <f aca="false">IF($A507="","",IFERROR(VLOOKUP($A507,Transcodifica!$A$5:$J$400,8,FALSE()),""))</f>
        <v/>
      </c>
      <c r="L507" s="6" t="str">
        <f aca="false">IF($A507="","",IFERROR(VLOOKUP($A507,Transcodifica!$A$5:$J$400,9,FALSE()),""))</f>
        <v/>
      </c>
      <c r="M507" s="8" t="str">
        <f aca="false">IF($A507="","",IF($E507="APPROVATO",1,IF($E507="In svolgimento",IF($F507="",0,$F507),0)))</f>
        <v/>
      </c>
      <c r="N507" s="10" t="str">
        <f aca="false">IF(OR($A507="",$I507="NON MAPPATO",$I507=""),"",$L507*$M507)</f>
        <v/>
      </c>
    </row>
    <row r="508" customFormat="false" ht="15" hidden="false" customHeight="false" outlineLevel="0" collapsed="false">
      <c r="A508" s="6"/>
      <c r="B508" s="7"/>
      <c r="C508" s="6"/>
      <c r="D508" s="6"/>
      <c r="E508" s="6"/>
      <c r="F508" s="8"/>
      <c r="G508" s="9"/>
      <c r="H508" s="7"/>
      <c r="I508" s="6" t="str">
        <f aca="false">IF($A508="","",IFERROR(VLOOKUP($A508,Transcodifica!$A$5:$J$400,5,FALSE()),"NON MAPPATO"))</f>
        <v/>
      </c>
      <c r="J508" s="6" t="str">
        <f aca="false">IF($A508="","",IFERROR(VLOOKUP($A508,Transcodifica!$A$5:$J$400,7,FALSE()),""))</f>
        <v/>
      </c>
      <c r="K508" s="6" t="str">
        <f aca="false">IF($A508="","",IFERROR(VLOOKUP($A508,Transcodifica!$A$5:$J$400,8,FALSE()),""))</f>
        <v/>
      </c>
      <c r="L508" s="6" t="str">
        <f aca="false">IF($A508="","",IFERROR(VLOOKUP($A508,Transcodifica!$A$5:$J$400,9,FALSE()),""))</f>
        <v/>
      </c>
      <c r="M508" s="8" t="str">
        <f aca="false">IF($A508="","",IF($E508="APPROVATO",1,IF($E508="In svolgimento",IF($F508="",0,$F508),0)))</f>
        <v/>
      </c>
      <c r="N508" s="10" t="str">
        <f aca="false">IF(OR($A508="",$I508="NON MAPPATO",$I508=""),"",$L508*$M508)</f>
        <v/>
      </c>
    </row>
    <row r="509" customFormat="false" ht="15" hidden="false" customHeight="false" outlineLevel="0" collapsed="false">
      <c r="A509" s="6"/>
      <c r="B509" s="7"/>
      <c r="C509" s="6"/>
      <c r="D509" s="6"/>
      <c r="E509" s="6"/>
      <c r="F509" s="8"/>
      <c r="G509" s="9"/>
      <c r="H509" s="7"/>
      <c r="I509" s="6" t="str">
        <f aca="false">IF($A509="","",IFERROR(VLOOKUP($A509,Transcodifica!$A$5:$J$400,5,FALSE()),"NON MAPPATO"))</f>
        <v/>
      </c>
      <c r="J509" s="6" t="str">
        <f aca="false">IF($A509="","",IFERROR(VLOOKUP($A509,Transcodifica!$A$5:$J$400,7,FALSE()),""))</f>
        <v/>
      </c>
      <c r="K509" s="6" t="str">
        <f aca="false">IF($A509="","",IFERROR(VLOOKUP($A509,Transcodifica!$A$5:$J$400,8,FALSE()),""))</f>
        <v/>
      </c>
      <c r="L509" s="6" t="str">
        <f aca="false">IF($A509="","",IFERROR(VLOOKUP($A509,Transcodifica!$A$5:$J$400,9,FALSE()),""))</f>
        <v/>
      </c>
      <c r="M509" s="8" t="str">
        <f aca="false">IF($A509="","",IF($E509="APPROVATO",1,IF($E509="In svolgimento",IF($F509="",0,$F509),0)))</f>
        <v/>
      </c>
      <c r="N509" s="10" t="str">
        <f aca="false">IF(OR($A509="",$I509="NON MAPPATO",$I509=""),"",$L509*$M509)</f>
        <v/>
      </c>
    </row>
    <row r="510" customFormat="false" ht="15" hidden="false" customHeight="false" outlineLevel="0" collapsed="false">
      <c r="A510" s="6"/>
      <c r="B510" s="7"/>
      <c r="C510" s="6"/>
      <c r="D510" s="6"/>
      <c r="E510" s="6"/>
      <c r="F510" s="8"/>
      <c r="G510" s="9"/>
      <c r="H510" s="7"/>
      <c r="I510" s="6" t="str">
        <f aca="false">IF($A510="","",IFERROR(VLOOKUP($A510,Transcodifica!$A$5:$J$400,5,FALSE()),"NON MAPPATO"))</f>
        <v/>
      </c>
      <c r="J510" s="6" t="str">
        <f aca="false">IF($A510="","",IFERROR(VLOOKUP($A510,Transcodifica!$A$5:$J$400,7,FALSE()),""))</f>
        <v/>
      </c>
      <c r="K510" s="6" t="str">
        <f aca="false">IF($A510="","",IFERROR(VLOOKUP($A510,Transcodifica!$A$5:$J$400,8,FALSE()),""))</f>
        <v/>
      </c>
      <c r="L510" s="6" t="str">
        <f aca="false">IF($A510="","",IFERROR(VLOOKUP($A510,Transcodifica!$A$5:$J$400,9,FALSE()),""))</f>
        <v/>
      </c>
      <c r="M510" s="8" t="str">
        <f aca="false">IF($A510="","",IF($E510="APPROVATO",1,IF($E510="In svolgimento",IF($F510="",0,$F510),0)))</f>
        <v/>
      </c>
      <c r="N510" s="10" t="str">
        <f aca="false">IF(OR($A510="",$I510="NON MAPPATO",$I510=""),"",$L510*$M510)</f>
        <v/>
      </c>
    </row>
    <row r="511" customFormat="false" ht="15" hidden="false" customHeight="false" outlineLevel="0" collapsed="false">
      <c r="A511" s="6"/>
      <c r="B511" s="7"/>
      <c r="C511" s="6"/>
      <c r="D511" s="6"/>
      <c r="E511" s="6"/>
      <c r="F511" s="8"/>
      <c r="G511" s="9"/>
      <c r="H511" s="7"/>
      <c r="I511" s="6" t="str">
        <f aca="false">IF($A511="","",IFERROR(VLOOKUP($A511,Transcodifica!$A$5:$J$400,5,FALSE()),"NON MAPPATO"))</f>
        <v/>
      </c>
      <c r="J511" s="6" t="str">
        <f aca="false">IF($A511="","",IFERROR(VLOOKUP($A511,Transcodifica!$A$5:$J$400,7,FALSE()),""))</f>
        <v/>
      </c>
      <c r="K511" s="6" t="str">
        <f aca="false">IF($A511="","",IFERROR(VLOOKUP($A511,Transcodifica!$A$5:$J$400,8,FALSE()),""))</f>
        <v/>
      </c>
      <c r="L511" s="6" t="str">
        <f aca="false">IF($A511="","",IFERROR(VLOOKUP($A511,Transcodifica!$A$5:$J$400,9,FALSE()),""))</f>
        <v/>
      </c>
      <c r="M511" s="8" t="str">
        <f aca="false">IF($A511="","",IF($E511="APPROVATO",1,IF($E511="In svolgimento",IF($F511="",0,$F511),0)))</f>
        <v/>
      </c>
      <c r="N511" s="10" t="str">
        <f aca="false">IF(OR($A511="",$I511="NON MAPPATO",$I511=""),"",$L511*$M511)</f>
        <v/>
      </c>
    </row>
    <row r="512" customFormat="false" ht="15" hidden="false" customHeight="false" outlineLevel="0" collapsed="false">
      <c r="A512" s="6"/>
      <c r="B512" s="7"/>
      <c r="C512" s="6"/>
      <c r="D512" s="6"/>
      <c r="E512" s="6"/>
      <c r="F512" s="8"/>
      <c r="G512" s="9"/>
      <c r="H512" s="7"/>
      <c r="I512" s="6" t="str">
        <f aca="false">IF($A512="","",IFERROR(VLOOKUP($A512,Transcodifica!$A$5:$J$400,5,FALSE()),"NON MAPPATO"))</f>
        <v/>
      </c>
      <c r="J512" s="6" t="str">
        <f aca="false">IF($A512="","",IFERROR(VLOOKUP($A512,Transcodifica!$A$5:$J$400,7,FALSE()),""))</f>
        <v/>
      </c>
      <c r="K512" s="6" t="str">
        <f aca="false">IF($A512="","",IFERROR(VLOOKUP($A512,Transcodifica!$A$5:$J$400,8,FALSE()),""))</f>
        <v/>
      </c>
      <c r="L512" s="6" t="str">
        <f aca="false">IF($A512="","",IFERROR(VLOOKUP($A512,Transcodifica!$A$5:$J$400,9,FALSE()),""))</f>
        <v/>
      </c>
      <c r="M512" s="8" t="str">
        <f aca="false">IF($A512="","",IF($E512="APPROVATO",1,IF($E512="In svolgimento",IF($F512="",0,$F512),0)))</f>
        <v/>
      </c>
      <c r="N512" s="10" t="str">
        <f aca="false">IF(OR($A512="",$I512="NON MAPPATO",$I512=""),"",$L512*$M512)</f>
        <v/>
      </c>
    </row>
    <row r="513" customFormat="false" ht="15" hidden="false" customHeight="false" outlineLevel="0" collapsed="false">
      <c r="A513" s="6"/>
      <c r="B513" s="7"/>
      <c r="C513" s="6"/>
      <c r="D513" s="6"/>
      <c r="E513" s="6"/>
      <c r="F513" s="8"/>
      <c r="G513" s="9"/>
      <c r="H513" s="7"/>
      <c r="I513" s="6" t="str">
        <f aca="false">IF($A513="","",IFERROR(VLOOKUP($A513,Transcodifica!$A$5:$J$400,5,FALSE()),"NON MAPPATO"))</f>
        <v/>
      </c>
      <c r="J513" s="6" t="str">
        <f aca="false">IF($A513="","",IFERROR(VLOOKUP($A513,Transcodifica!$A$5:$J$400,7,FALSE()),""))</f>
        <v/>
      </c>
      <c r="K513" s="6" t="str">
        <f aca="false">IF($A513="","",IFERROR(VLOOKUP($A513,Transcodifica!$A$5:$J$400,8,FALSE()),""))</f>
        <v/>
      </c>
      <c r="L513" s="6" t="str">
        <f aca="false">IF($A513="","",IFERROR(VLOOKUP($A513,Transcodifica!$A$5:$J$400,9,FALSE()),""))</f>
        <v/>
      </c>
      <c r="M513" s="8" t="str">
        <f aca="false">IF($A513="","",IF($E513="APPROVATO",1,IF($E513="In svolgimento",IF($F513="",0,$F513),0)))</f>
        <v/>
      </c>
      <c r="N513" s="10" t="str">
        <f aca="false">IF(OR($A513="",$I513="NON MAPPATO",$I513=""),"",$L513*$M513)</f>
        <v/>
      </c>
    </row>
    <row r="514" customFormat="false" ht="15" hidden="false" customHeight="false" outlineLevel="0" collapsed="false">
      <c r="A514" s="6"/>
      <c r="B514" s="7"/>
      <c r="C514" s="6"/>
      <c r="D514" s="6"/>
      <c r="E514" s="6"/>
      <c r="F514" s="8"/>
      <c r="G514" s="9"/>
      <c r="H514" s="7"/>
      <c r="I514" s="6" t="str">
        <f aca="false">IF($A514="","",IFERROR(VLOOKUP($A514,Transcodifica!$A$5:$J$400,5,FALSE()),"NON MAPPATO"))</f>
        <v/>
      </c>
      <c r="J514" s="6" t="str">
        <f aca="false">IF($A514="","",IFERROR(VLOOKUP($A514,Transcodifica!$A$5:$J$400,7,FALSE()),""))</f>
        <v/>
      </c>
      <c r="K514" s="6" t="str">
        <f aca="false">IF($A514="","",IFERROR(VLOOKUP($A514,Transcodifica!$A$5:$J$400,8,FALSE()),""))</f>
        <v/>
      </c>
      <c r="L514" s="6" t="str">
        <f aca="false">IF($A514="","",IFERROR(VLOOKUP($A514,Transcodifica!$A$5:$J$400,9,FALSE()),""))</f>
        <v/>
      </c>
      <c r="M514" s="8" t="str">
        <f aca="false">IF($A514="","",IF($E514="APPROVATO",1,IF($E514="In svolgimento",IF($F514="",0,$F514),0)))</f>
        <v/>
      </c>
      <c r="N514" s="10" t="str">
        <f aca="false">IF(OR($A514="",$I514="NON MAPPATO",$I514=""),"",$L514*$M514)</f>
        <v/>
      </c>
    </row>
    <row r="515" customFormat="false" ht="15" hidden="false" customHeight="false" outlineLevel="0" collapsed="false">
      <c r="A515" s="6"/>
      <c r="B515" s="7"/>
      <c r="C515" s="6"/>
      <c r="D515" s="6"/>
      <c r="E515" s="6"/>
      <c r="F515" s="8"/>
      <c r="G515" s="9"/>
      <c r="H515" s="7"/>
      <c r="I515" s="6" t="str">
        <f aca="false">IF($A515="","",IFERROR(VLOOKUP($A515,Transcodifica!$A$5:$J$400,5,FALSE()),"NON MAPPATO"))</f>
        <v/>
      </c>
      <c r="J515" s="6" t="str">
        <f aca="false">IF($A515="","",IFERROR(VLOOKUP($A515,Transcodifica!$A$5:$J$400,7,FALSE()),""))</f>
        <v/>
      </c>
      <c r="K515" s="6" t="str">
        <f aca="false">IF($A515="","",IFERROR(VLOOKUP($A515,Transcodifica!$A$5:$J$400,8,FALSE()),""))</f>
        <v/>
      </c>
      <c r="L515" s="6" t="str">
        <f aca="false">IF($A515="","",IFERROR(VLOOKUP($A515,Transcodifica!$A$5:$J$400,9,FALSE()),""))</f>
        <v/>
      </c>
      <c r="M515" s="8" t="str">
        <f aca="false">IF($A515="","",IF($E515="APPROVATO",1,IF($E515="In svolgimento",IF($F515="",0,$F515),0)))</f>
        <v/>
      </c>
      <c r="N515" s="10" t="str">
        <f aca="false">IF(OR($A515="",$I515="NON MAPPATO",$I515=""),"",$L515*$M515)</f>
        <v/>
      </c>
    </row>
    <row r="516" customFormat="false" ht="15" hidden="false" customHeight="false" outlineLevel="0" collapsed="false">
      <c r="A516" s="6"/>
      <c r="B516" s="7"/>
      <c r="C516" s="6"/>
      <c r="D516" s="6"/>
      <c r="E516" s="6"/>
      <c r="F516" s="8"/>
      <c r="G516" s="9"/>
      <c r="H516" s="7"/>
      <c r="I516" s="6" t="str">
        <f aca="false">IF($A516="","",IFERROR(VLOOKUP($A516,Transcodifica!$A$5:$J$400,5,FALSE()),"NON MAPPATO"))</f>
        <v/>
      </c>
      <c r="J516" s="6" t="str">
        <f aca="false">IF($A516="","",IFERROR(VLOOKUP($A516,Transcodifica!$A$5:$J$400,7,FALSE()),""))</f>
        <v/>
      </c>
      <c r="K516" s="6" t="str">
        <f aca="false">IF($A516="","",IFERROR(VLOOKUP($A516,Transcodifica!$A$5:$J$400,8,FALSE()),""))</f>
        <v/>
      </c>
      <c r="L516" s="6" t="str">
        <f aca="false">IF($A516="","",IFERROR(VLOOKUP($A516,Transcodifica!$A$5:$J$400,9,FALSE()),""))</f>
        <v/>
      </c>
      <c r="M516" s="8" t="str">
        <f aca="false">IF($A516="","",IF($E516="APPROVATO",1,IF($E516="In svolgimento",IF($F516="",0,$F516),0)))</f>
        <v/>
      </c>
      <c r="N516" s="10" t="str">
        <f aca="false">IF(OR($A516="",$I516="NON MAPPATO",$I516=""),"",$L516*$M516)</f>
        <v/>
      </c>
    </row>
    <row r="517" customFormat="false" ht="15" hidden="false" customHeight="false" outlineLevel="0" collapsed="false">
      <c r="A517" s="6"/>
      <c r="B517" s="7"/>
      <c r="C517" s="6"/>
      <c r="D517" s="6"/>
      <c r="E517" s="6"/>
      <c r="F517" s="8"/>
      <c r="G517" s="9"/>
      <c r="H517" s="7"/>
      <c r="I517" s="6" t="str">
        <f aca="false">IF($A517="","",IFERROR(VLOOKUP($A517,Transcodifica!$A$5:$J$400,5,FALSE()),"NON MAPPATO"))</f>
        <v/>
      </c>
      <c r="J517" s="6" t="str">
        <f aca="false">IF($A517="","",IFERROR(VLOOKUP($A517,Transcodifica!$A$5:$J$400,7,FALSE()),""))</f>
        <v/>
      </c>
      <c r="K517" s="6" t="str">
        <f aca="false">IF($A517="","",IFERROR(VLOOKUP($A517,Transcodifica!$A$5:$J$400,8,FALSE()),""))</f>
        <v/>
      </c>
      <c r="L517" s="6" t="str">
        <f aca="false">IF($A517="","",IFERROR(VLOOKUP($A517,Transcodifica!$A$5:$J$400,9,FALSE()),""))</f>
        <v/>
      </c>
      <c r="M517" s="8" t="str">
        <f aca="false">IF($A517="","",IF($E517="APPROVATO",1,IF($E517="In svolgimento",IF($F517="",0,$F517),0)))</f>
        <v/>
      </c>
      <c r="N517" s="10" t="str">
        <f aca="false">IF(OR($A517="",$I517="NON MAPPATO",$I517=""),"",$L517*$M517)</f>
        <v/>
      </c>
    </row>
    <row r="518" customFormat="false" ht="15" hidden="false" customHeight="false" outlineLevel="0" collapsed="false">
      <c r="A518" s="6"/>
      <c r="B518" s="7"/>
      <c r="C518" s="6"/>
      <c r="D518" s="6"/>
      <c r="E518" s="6"/>
      <c r="F518" s="8"/>
      <c r="G518" s="9"/>
      <c r="H518" s="7"/>
      <c r="I518" s="6" t="str">
        <f aca="false">IF($A518="","",IFERROR(VLOOKUP($A518,Transcodifica!$A$5:$J$400,5,FALSE()),"NON MAPPATO"))</f>
        <v/>
      </c>
      <c r="J518" s="6" t="str">
        <f aca="false">IF($A518="","",IFERROR(VLOOKUP($A518,Transcodifica!$A$5:$J$400,7,FALSE()),""))</f>
        <v/>
      </c>
      <c r="K518" s="6" t="str">
        <f aca="false">IF($A518="","",IFERROR(VLOOKUP($A518,Transcodifica!$A$5:$J$400,8,FALSE()),""))</f>
        <v/>
      </c>
      <c r="L518" s="6" t="str">
        <f aca="false">IF($A518="","",IFERROR(VLOOKUP($A518,Transcodifica!$A$5:$J$400,9,FALSE()),""))</f>
        <v/>
      </c>
      <c r="M518" s="8" t="str">
        <f aca="false">IF($A518="","",IF($E518="APPROVATO",1,IF($E518="In svolgimento",IF($F518="",0,$F518),0)))</f>
        <v/>
      </c>
      <c r="N518" s="10" t="str">
        <f aca="false">IF(OR($A518="",$I518="NON MAPPATO",$I518=""),"",$L518*$M518)</f>
        <v/>
      </c>
    </row>
    <row r="519" customFormat="false" ht="15" hidden="false" customHeight="false" outlineLevel="0" collapsed="false">
      <c r="A519" s="6"/>
      <c r="B519" s="7"/>
      <c r="C519" s="6"/>
      <c r="D519" s="6"/>
      <c r="E519" s="6"/>
      <c r="F519" s="8"/>
      <c r="G519" s="9"/>
      <c r="H519" s="7"/>
      <c r="I519" s="6" t="str">
        <f aca="false">IF($A519="","",IFERROR(VLOOKUP($A519,Transcodifica!$A$5:$J$400,5,FALSE()),"NON MAPPATO"))</f>
        <v/>
      </c>
      <c r="J519" s="6" t="str">
        <f aca="false">IF($A519="","",IFERROR(VLOOKUP($A519,Transcodifica!$A$5:$J$400,7,FALSE()),""))</f>
        <v/>
      </c>
      <c r="K519" s="6" t="str">
        <f aca="false">IF($A519="","",IFERROR(VLOOKUP($A519,Transcodifica!$A$5:$J$400,8,FALSE()),""))</f>
        <v/>
      </c>
      <c r="L519" s="6" t="str">
        <f aca="false">IF($A519="","",IFERROR(VLOOKUP($A519,Transcodifica!$A$5:$J$400,9,FALSE()),""))</f>
        <v/>
      </c>
      <c r="M519" s="8" t="str">
        <f aca="false">IF($A519="","",IF($E519="APPROVATO",1,IF($E519="In svolgimento",IF($F519="",0,$F519),0)))</f>
        <v/>
      </c>
      <c r="N519" s="10" t="str">
        <f aca="false">IF(OR($A519="",$I519="NON MAPPATO",$I519=""),"",$L519*$M519)</f>
        <v/>
      </c>
    </row>
    <row r="520" customFormat="false" ht="15" hidden="false" customHeight="false" outlineLevel="0" collapsed="false">
      <c r="A520" s="6"/>
      <c r="B520" s="7"/>
      <c r="C520" s="6"/>
      <c r="D520" s="6"/>
      <c r="E520" s="6"/>
      <c r="F520" s="8"/>
      <c r="G520" s="9"/>
      <c r="H520" s="7"/>
      <c r="I520" s="6" t="str">
        <f aca="false">IF($A520="","",IFERROR(VLOOKUP($A520,Transcodifica!$A$5:$J$400,5,FALSE()),"NON MAPPATO"))</f>
        <v/>
      </c>
      <c r="J520" s="6" t="str">
        <f aca="false">IF($A520="","",IFERROR(VLOOKUP($A520,Transcodifica!$A$5:$J$400,7,FALSE()),""))</f>
        <v/>
      </c>
      <c r="K520" s="6" t="str">
        <f aca="false">IF($A520="","",IFERROR(VLOOKUP($A520,Transcodifica!$A$5:$J$400,8,FALSE()),""))</f>
        <v/>
      </c>
      <c r="L520" s="6" t="str">
        <f aca="false">IF($A520="","",IFERROR(VLOOKUP($A520,Transcodifica!$A$5:$J$400,9,FALSE()),""))</f>
        <v/>
      </c>
      <c r="M520" s="8" t="str">
        <f aca="false">IF($A520="","",IF($E520="APPROVATO",1,IF($E520="In svolgimento",IF($F520="",0,$F520),0)))</f>
        <v/>
      </c>
      <c r="N520" s="10" t="str">
        <f aca="false">IF(OR($A520="",$I520="NON MAPPATO",$I520=""),"",$L520*$M520)</f>
        <v/>
      </c>
    </row>
    <row r="521" customFormat="false" ht="15" hidden="false" customHeight="false" outlineLevel="0" collapsed="false">
      <c r="A521" s="6"/>
      <c r="B521" s="7"/>
      <c r="C521" s="6"/>
      <c r="D521" s="6"/>
      <c r="E521" s="6"/>
      <c r="F521" s="8"/>
      <c r="G521" s="9"/>
      <c r="H521" s="7"/>
      <c r="I521" s="6" t="str">
        <f aca="false">IF($A521="","",IFERROR(VLOOKUP($A521,Transcodifica!$A$5:$J$400,5,FALSE()),"NON MAPPATO"))</f>
        <v/>
      </c>
      <c r="J521" s="6" t="str">
        <f aca="false">IF($A521="","",IFERROR(VLOOKUP($A521,Transcodifica!$A$5:$J$400,7,FALSE()),""))</f>
        <v/>
      </c>
      <c r="K521" s="6" t="str">
        <f aca="false">IF($A521="","",IFERROR(VLOOKUP($A521,Transcodifica!$A$5:$J$400,8,FALSE()),""))</f>
        <v/>
      </c>
      <c r="L521" s="6" t="str">
        <f aca="false">IF($A521="","",IFERROR(VLOOKUP($A521,Transcodifica!$A$5:$J$400,9,FALSE()),""))</f>
        <v/>
      </c>
      <c r="M521" s="8" t="str">
        <f aca="false">IF($A521="","",IF($E521="APPROVATO",1,IF($E521="In svolgimento",IF($F521="",0,$F521),0)))</f>
        <v/>
      </c>
      <c r="N521" s="10" t="str">
        <f aca="false">IF(OR($A521="",$I521="NON MAPPATO",$I521=""),"",$L521*$M521)</f>
        <v/>
      </c>
    </row>
    <row r="522" customFormat="false" ht="15" hidden="false" customHeight="false" outlineLevel="0" collapsed="false">
      <c r="A522" s="6"/>
      <c r="B522" s="7"/>
      <c r="C522" s="6"/>
      <c r="D522" s="6"/>
      <c r="E522" s="6"/>
      <c r="F522" s="8"/>
      <c r="G522" s="9"/>
      <c r="H522" s="7"/>
      <c r="I522" s="6" t="str">
        <f aca="false">IF($A522="","",IFERROR(VLOOKUP($A522,Transcodifica!$A$5:$J$400,5,FALSE()),"NON MAPPATO"))</f>
        <v/>
      </c>
      <c r="J522" s="6" t="str">
        <f aca="false">IF($A522="","",IFERROR(VLOOKUP($A522,Transcodifica!$A$5:$J$400,7,FALSE()),""))</f>
        <v/>
      </c>
      <c r="K522" s="6" t="str">
        <f aca="false">IF($A522="","",IFERROR(VLOOKUP($A522,Transcodifica!$A$5:$J$400,8,FALSE()),""))</f>
        <v/>
      </c>
      <c r="L522" s="6" t="str">
        <f aca="false">IF($A522="","",IFERROR(VLOOKUP($A522,Transcodifica!$A$5:$J$400,9,FALSE()),""))</f>
        <v/>
      </c>
      <c r="M522" s="8" t="str">
        <f aca="false">IF($A522="","",IF($E522="APPROVATO",1,IF($E522="In svolgimento",IF($F522="",0,$F522),0)))</f>
        <v/>
      </c>
      <c r="N522" s="10" t="str">
        <f aca="false">IF(OR($A522="",$I522="NON MAPPATO",$I522=""),"",$L522*$M522)</f>
        <v/>
      </c>
    </row>
    <row r="523" customFormat="false" ht="15" hidden="false" customHeight="false" outlineLevel="0" collapsed="false">
      <c r="A523" s="6"/>
      <c r="B523" s="7"/>
      <c r="C523" s="6"/>
      <c r="D523" s="6"/>
      <c r="E523" s="6"/>
      <c r="F523" s="8"/>
      <c r="G523" s="9"/>
      <c r="H523" s="7"/>
      <c r="I523" s="6" t="str">
        <f aca="false">IF($A523="","",IFERROR(VLOOKUP($A523,Transcodifica!$A$5:$J$400,5,FALSE()),"NON MAPPATO"))</f>
        <v/>
      </c>
      <c r="J523" s="6" t="str">
        <f aca="false">IF($A523="","",IFERROR(VLOOKUP($A523,Transcodifica!$A$5:$J$400,7,FALSE()),""))</f>
        <v/>
      </c>
      <c r="K523" s="6" t="str">
        <f aca="false">IF($A523="","",IFERROR(VLOOKUP($A523,Transcodifica!$A$5:$J$400,8,FALSE()),""))</f>
        <v/>
      </c>
      <c r="L523" s="6" t="str">
        <f aca="false">IF($A523="","",IFERROR(VLOOKUP($A523,Transcodifica!$A$5:$J$400,9,FALSE()),""))</f>
        <v/>
      </c>
      <c r="M523" s="8" t="str">
        <f aca="false">IF($A523="","",IF($E523="APPROVATO",1,IF($E523="In svolgimento",IF($F523="",0,$F523),0)))</f>
        <v/>
      </c>
      <c r="N523" s="10" t="str">
        <f aca="false">IF(OR($A523="",$I523="NON MAPPATO",$I523=""),"",$L523*$M523)</f>
        <v/>
      </c>
    </row>
    <row r="524" customFormat="false" ht="15" hidden="false" customHeight="false" outlineLevel="0" collapsed="false">
      <c r="A524" s="6"/>
      <c r="B524" s="7"/>
      <c r="C524" s="6"/>
      <c r="D524" s="6"/>
      <c r="E524" s="6"/>
      <c r="F524" s="8"/>
      <c r="G524" s="9"/>
      <c r="H524" s="7"/>
      <c r="I524" s="6" t="str">
        <f aca="false">IF($A524="","",IFERROR(VLOOKUP($A524,Transcodifica!$A$5:$J$400,5,FALSE()),"NON MAPPATO"))</f>
        <v/>
      </c>
      <c r="J524" s="6" t="str">
        <f aca="false">IF($A524="","",IFERROR(VLOOKUP($A524,Transcodifica!$A$5:$J$400,7,FALSE()),""))</f>
        <v/>
      </c>
      <c r="K524" s="6" t="str">
        <f aca="false">IF($A524="","",IFERROR(VLOOKUP($A524,Transcodifica!$A$5:$J$400,8,FALSE()),""))</f>
        <v/>
      </c>
      <c r="L524" s="6" t="str">
        <f aca="false">IF($A524="","",IFERROR(VLOOKUP($A524,Transcodifica!$A$5:$J$400,9,FALSE()),""))</f>
        <v/>
      </c>
      <c r="M524" s="8" t="str">
        <f aca="false">IF($A524="","",IF($E524="APPROVATO",1,IF($E524="In svolgimento",IF($F524="",0,$F524),0)))</f>
        <v/>
      </c>
      <c r="N524" s="10" t="str">
        <f aca="false">IF(OR($A524="",$I524="NON MAPPATO",$I524=""),"",$L524*$M524)</f>
        <v/>
      </c>
    </row>
    <row r="525" customFormat="false" ht="15" hidden="false" customHeight="false" outlineLevel="0" collapsed="false">
      <c r="A525" s="6"/>
      <c r="B525" s="7"/>
      <c r="C525" s="6"/>
      <c r="D525" s="6"/>
      <c r="E525" s="6"/>
      <c r="F525" s="8"/>
      <c r="G525" s="9"/>
      <c r="H525" s="7"/>
      <c r="I525" s="6" t="str">
        <f aca="false">IF($A525="","",IFERROR(VLOOKUP($A525,Transcodifica!$A$5:$J$400,5,FALSE()),"NON MAPPATO"))</f>
        <v/>
      </c>
      <c r="J525" s="6" t="str">
        <f aca="false">IF($A525="","",IFERROR(VLOOKUP($A525,Transcodifica!$A$5:$J$400,7,FALSE()),""))</f>
        <v/>
      </c>
      <c r="K525" s="6" t="str">
        <f aca="false">IF($A525="","",IFERROR(VLOOKUP($A525,Transcodifica!$A$5:$J$400,8,FALSE()),""))</f>
        <v/>
      </c>
      <c r="L525" s="6" t="str">
        <f aca="false">IF($A525="","",IFERROR(VLOOKUP($A525,Transcodifica!$A$5:$J$400,9,FALSE()),""))</f>
        <v/>
      </c>
      <c r="M525" s="8" t="str">
        <f aca="false">IF($A525="","",IF($E525="APPROVATO",1,IF($E525="In svolgimento",IF($F525="",0,$F525),0)))</f>
        <v/>
      </c>
      <c r="N525" s="10" t="str">
        <f aca="false">IF(OR($A525="",$I525="NON MAPPATO",$I525=""),"",$L525*$M525)</f>
        <v/>
      </c>
    </row>
    <row r="526" customFormat="false" ht="15" hidden="false" customHeight="false" outlineLevel="0" collapsed="false">
      <c r="A526" s="6"/>
      <c r="B526" s="7"/>
      <c r="C526" s="6"/>
      <c r="D526" s="6"/>
      <c r="E526" s="6"/>
      <c r="F526" s="8"/>
      <c r="G526" s="9"/>
      <c r="H526" s="7"/>
      <c r="I526" s="6" t="str">
        <f aca="false">IF($A526="","",IFERROR(VLOOKUP($A526,Transcodifica!$A$5:$J$400,5,FALSE()),"NON MAPPATO"))</f>
        <v/>
      </c>
      <c r="J526" s="6" t="str">
        <f aca="false">IF($A526="","",IFERROR(VLOOKUP($A526,Transcodifica!$A$5:$J$400,7,FALSE()),""))</f>
        <v/>
      </c>
      <c r="K526" s="6" t="str">
        <f aca="false">IF($A526="","",IFERROR(VLOOKUP($A526,Transcodifica!$A$5:$J$400,8,FALSE()),""))</f>
        <v/>
      </c>
      <c r="L526" s="6" t="str">
        <f aca="false">IF($A526="","",IFERROR(VLOOKUP($A526,Transcodifica!$A$5:$J$400,9,FALSE()),""))</f>
        <v/>
      </c>
      <c r="M526" s="8" t="str">
        <f aca="false">IF($A526="","",IF($E526="APPROVATO",1,IF($E526="In svolgimento",IF($F526="",0,$F526),0)))</f>
        <v/>
      </c>
      <c r="N526" s="10" t="str">
        <f aca="false">IF(OR($A526="",$I526="NON MAPPATO",$I526=""),"",$L526*$M526)</f>
        <v/>
      </c>
    </row>
    <row r="527" customFormat="false" ht="15" hidden="false" customHeight="false" outlineLevel="0" collapsed="false">
      <c r="A527" s="6"/>
      <c r="B527" s="7"/>
      <c r="C527" s="6"/>
      <c r="D527" s="6"/>
      <c r="E527" s="6"/>
      <c r="F527" s="8"/>
      <c r="G527" s="9"/>
      <c r="H527" s="7"/>
      <c r="I527" s="6" t="str">
        <f aca="false">IF($A527="","",IFERROR(VLOOKUP($A527,Transcodifica!$A$5:$J$400,5,FALSE()),"NON MAPPATO"))</f>
        <v/>
      </c>
      <c r="J527" s="6" t="str">
        <f aca="false">IF($A527="","",IFERROR(VLOOKUP($A527,Transcodifica!$A$5:$J$400,7,FALSE()),""))</f>
        <v/>
      </c>
      <c r="K527" s="6" t="str">
        <f aca="false">IF($A527="","",IFERROR(VLOOKUP($A527,Transcodifica!$A$5:$J$400,8,FALSE()),""))</f>
        <v/>
      </c>
      <c r="L527" s="6" t="str">
        <f aca="false">IF($A527="","",IFERROR(VLOOKUP($A527,Transcodifica!$A$5:$J$400,9,FALSE()),""))</f>
        <v/>
      </c>
      <c r="M527" s="8" t="str">
        <f aca="false">IF($A527="","",IF($E527="APPROVATO",1,IF($E527="In svolgimento",IF($F527="",0,$F527),0)))</f>
        <v/>
      </c>
      <c r="N527" s="10" t="str">
        <f aca="false">IF(OR($A527="",$I527="NON MAPPATO",$I527=""),"",$L527*$M527)</f>
        <v/>
      </c>
    </row>
    <row r="528" customFormat="false" ht="15" hidden="false" customHeight="false" outlineLevel="0" collapsed="false">
      <c r="A528" s="6"/>
      <c r="B528" s="7"/>
      <c r="C528" s="6"/>
      <c r="D528" s="6"/>
      <c r="E528" s="6"/>
      <c r="F528" s="8"/>
      <c r="G528" s="9"/>
      <c r="H528" s="7"/>
      <c r="I528" s="6" t="str">
        <f aca="false">IF($A528="","",IFERROR(VLOOKUP($A528,Transcodifica!$A$5:$J$400,5,FALSE()),"NON MAPPATO"))</f>
        <v/>
      </c>
      <c r="J528" s="6" t="str">
        <f aca="false">IF($A528="","",IFERROR(VLOOKUP($A528,Transcodifica!$A$5:$J$400,7,FALSE()),""))</f>
        <v/>
      </c>
      <c r="K528" s="6" t="str">
        <f aca="false">IF($A528="","",IFERROR(VLOOKUP($A528,Transcodifica!$A$5:$J$400,8,FALSE()),""))</f>
        <v/>
      </c>
      <c r="L528" s="6" t="str">
        <f aca="false">IF($A528="","",IFERROR(VLOOKUP($A528,Transcodifica!$A$5:$J$400,9,FALSE()),""))</f>
        <v/>
      </c>
      <c r="M528" s="8" t="str">
        <f aca="false">IF($A528="","",IF($E528="APPROVATO",1,IF($E528="In svolgimento",IF($F528="",0,$F528),0)))</f>
        <v/>
      </c>
      <c r="N528" s="10" t="str">
        <f aca="false">IF(OR($A528="",$I528="NON MAPPATO",$I528=""),"",$L528*$M528)</f>
        <v/>
      </c>
    </row>
    <row r="529" customFormat="false" ht="15" hidden="false" customHeight="false" outlineLevel="0" collapsed="false">
      <c r="A529" s="6"/>
      <c r="B529" s="7"/>
      <c r="C529" s="6"/>
      <c r="D529" s="6"/>
      <c r="E529" s="6"/>
      <c r="F529" s="8"/>
      <c r="G529" s="9"/>
      <c r="H529" s="7"/>
      <c r="I529" s="6" t="str">
        <f aca="false">IF($A529="","",IFERROR(VLOOKUP($A529,Transcodifica!$A$5:$J$400,5,FALSE()),"NON MAPPATO"))</f>
        <v/>
      </c>
      <c r="J529" s="6" t="str">
        <f aca="false">IF($A529="","",IFERROR(VLOOKUP($A529,Transcodifica!$A$5:$J$400,7,FALSE()),""))</f>
        <v/>
      </c>
      <c r="K529" s="6" t="str">
        <f aca="false">IF($A529="","",IFERROR(VLOOKUP($A529,Transcodifica!$A$5:$J$400,8,FALSE()),""))</f>
        <v/>
      </c>
      <c r="L529" s="6" t="str">
        <f aca="false">IF($A529="","",IFERROR(VLOOKUP($A529,Transcodifica!$A$5:$J$400,9,FALSE()),""))</f>
        <v/>
      </c>
      <c r="M529" s="8" t="str">
        <f aca="false">IF($A529="","",IF($E529="APPROVATO",1,IF($E529="In svolgimento",IF($F529="",0,$F529),0)))</f>
        <v/>
      </c>
      <c r="N529" s="10" t="str">
        <f aca="false">IF(OR($A529="",$I529="NON MAPPATO",$I529=""),"",$L529*$M529)</f>
        <v/>
      </c>
    </row>
    <row r="530" customFormat="false" ht="15" hidden="false" customHeight="false" outlineLevel="0" collapsed="false">
      <c r="A530" s="6"/>
      <c r="B530" s="7"/>
      <c r="C530" s="6"/>
      <c r="D530" s="6"/>
      <c r="E530" s="6"/>
      <c r="F530" s="8"/>
      <c r="G530" s="9"/>
      <c r="H530" s="7"/>
      <c r="I530" s="6" t="str">
        <f aca="false">IF($A530="","",IFERROR(VLOOKUP($A530,Transcodifica!$A$5:$J$400,5,FALSE()),"NON MAPPATO"))</f>
        <v/>
      </c>
      <c r="J530" s="6" t="str">
        <f aca="false">IF($A530="","",IFERROR(VLOOKUP($A530,Transcodifica!$A$5:$J$400,7,FALSE()),""))</f>
        <v/>
      </c>
      <c r="K530" s="6" t="str">
        <f aca="false">IF($A530="","",IFERROR(VLOOKUP($A530,Transcodifica!$A$5:$J$400,8,FALSE()),""))</f>
        <v/>
      </c>
      <c r="L530" s="6" t="str">
        <f aca="false">IF($A530="","",IFERROR(VLOOKUP($A530,Transcodifica!$A$5:$J$400,9,FALSE()),""))</f>
        <v/>
      </c>
      <c r="M530" s="8" t="str">
        <f aca="false">IF($A530="","",IF($E530="APPROVATO",1,IF($E530="In svolgimento",IF($F530="",0,$F530),0)))</f>
        <v/>
      </c>
      <c r="N530" s="10" t="str">
        <f aca="false">IF(OR($A530="",$I530="NON MAPPATO",$I530=""),"",$L530*$M530)</f>
        <v/>
      </c>
    </row>
    <row r="531" customFormat="false" ht="15" hidden="false" customHeight="false" outlineLevel="0" collapsed="false">
      <c r="A531" s="6"/>
      <c r="B531" s="7"/>
      <c r="C531" s="6"/>
      <c r="D531" s="6"/>
      <c r="E531" s="6"/>
      <c r="F531" s="8"/>
      <c r="G531" s="9"/>
      <c r="H531" s="7"/>
      <c r="I531" s="6" t="str">
        <f aca="false">IF($A531="","",IFERROR(VLOOKUP($A531,Transcodifica!$A$5:$J$400,5,FALSE()),"NON MAPPATO"))</f>
        <v/>
      </c>
      <c r="J531" s="6" t="str">
        <f aca="false">IF($A531="","",IFERROR(VLOOKUP($A531,Transcodifica!$A$5:$J$400,7,FALSE()),""))</f>
        <v/>
      </c>
      <c r="K531" s="6" t="str">
        <f aca="false">IF($A531="","",IFERROR(VLOOKUP($A531,Transcodifica!$A$5:$J$400,8,FALSE()),""))</f>
        <v/>
      </c>
      <c r="L531" s="6" t="str">
        <f aca="false">IF($A531="","",IFERROR(VLOOKUP($A531,Transcodifica!$A$5:$J$400,9,FALSE()),""))</f>
        <v/>
      </c>
      <c r="M531" s="8" t="str">
        <f aca="false">IF($A531="","",IF($E531="APPROVATO",1,IF($E531="In svolgimento",IF($F531="",0,$F531),0)))</f>
        <v/>
      </c>
      <c r="N531" s="10" t="str">
        <f aca="false">IF(OR($A531="",$I531="NON MAPPATO",$I531=""),"",$L531*$M531)</f>
        <v/>
      </c>
    </row>
    <row r="532" customFormat="false" ht="15" hidden="false" customHeight="false" outlineLevel="0" collapsed="false">
      <c r="A532" s="6"/>
      <c r="B532" s="7"/>
      <c r="C532" s="6"/>
      <c r="D532" s="6"/>
      <c r="E532" s="6"/>
      <c r="F532" s="8"/>
      <c r="G532" s="9"/>
      <c r="H532" s="7"/>
      <c r="I532" s="6" t="str">
        <f aca="false">IF($A532="","",IFERROR(VLOOKUP($A532,Transcodifica!$A$5:$J$400,5,FALSE()),"NON MAPPATO"))</f>
        <v/>
      </c>
      <c r="J532" s="6" t="str">
        <f aca="false">IF($A532="","",IFERROR(VLOOKUP($A532,Transcodifica!$A$5:$J$400,7,FALSE()),""))</f>
        <v/>
      </c>
      <c r="K532" s="6" t="str">
        <f aca="false">IF($A532="","",IFERROR(VLOOKUP($A532,Transcodifica!$A$5:$J$400,8,FALSE()),""))</f>
        <v/>
      </c>
      <c r="L532" s="6" t="str">
        <f aca="false">IF($A532="","",IFERROR(VLOOKUP($A532,Transcodifica!$A$5:$J$400,9,FALSE()),""))</f>
        <v/>
      </c>
      <c r="M532" s="8" t="str">
        <f aca="false">IF($A532="","",IF($E532="APPROVATO",1,IF($E532="In svolgimento",IF($F532="",0,$F532),0)))</f>
        <v/>
      </c>
      <c r="N532" s="10" t="str">
        <f aca="false">IF(OR($A532="",$I532="NON MAPPATO",$I532=""),"",$L532*$M532)</f>
        <v/>
      </c>
    </row>
    <row r="533" customFormat="false" ht="15" hidden="false" customHeight="false" outlineLevel="0" collapsed="false">
      <c r="A533" s="6"/>
      <c r="B533" s="7"/>
      <c r="C533" s="6"/>
      <c r="D533" s="6"/>
      <c r="E533" s="6"/>
      <c r="F533" s="8"/>
      <c r="G533" s="9"/>
      <c r="H533" s="7"/>
      <c r="I533" s="6" t="str">
        <f aca="false">IF($A533="","",IFERROR(VLOOKUP($A533,Transcodifica!$A$5:$J$400,5,FALSE()),"NON MAPPATO"))</f>
        <v/>
      </c>
      <c r="J533" s="6" t="str">
        <f aca="false">IF($A533="","",IFERROR(VLOOKUP($A533,Transcodifica!$A$5:$J$400,7,FALSE()),""))</f>
        <v/>
      </c>
      <c r="K533" s="6" t="str">
        <f aca="false">IF($A533="","",IFERROR(VLOOKUP($A533,Transcodifica!$A$5:$J$400,8,FALSE()),""))</f>
        <v/>
      </c>
      <c r="L533" s="6" t="str">
        <f aca="false">IF($A533="","",IFERROR(VLOOKUP($A533,Transcodifica!$A$5:$J$400,9,FALSE()),""))</f>
        <v/>
      </c>
      <c r="M533" s="8" t="str">
        <f aca="false">IF($A533="","",IF($E533="APPROVATO",1,IF($E533="In svolgimento",IF($F533="",0,$F533),0)))</f>
        <v/>
      </c>
      <c r="N533" s="10" t="str">
        <f aca="false">IF(OR($A533="",$I533="NON MAPPATO",$I533=""),"",$L533*$M533)</f>
        <v/>
      </c>
    </row>
    <row r="534" customFormat="false" ht="15" hidden="false" customHeight="false" outlineLevel="0" collapsed="false">
      <c r="A534" s="6"/>
      <c r="B534" s="7"/>
      <c r="C534" s="6"/>
      <c r="D534" s="6"/>
      <c r="E534" s="6"/>
      <c r="F534" s="8"/>
      <c r="G534" s="9"/>
      <c r="H534" s="7"/>
      <c r="I534" s="6" t="str">
        <f aca="false">IF($A534="","",IFERROR(VLOOKUP($A534,Transcodifica!$A$5:$J$400,5,FALSE()),"NON MAPPATO"))</f>
        <v/>
      </c>
      <c r="J534" s="6" t="str">
        <f aca="false">IF($A534="","",IFERROR(VLOOKUP($A534,Transcodifica!$A$5:$J$400,7,FALSE()),""))</f>
        <v/>
      </c>
      <c r="K534" s="6" t="str">
        <f aca="false">IF($A534="","",IFERROR(VLOOKUP($A534,Transcodifica!$A$5:$J$400,8,FALSE()),""))</f>
        <v/>
      </c>
      <c r="L534" s="6" t="str">
        <f aca="false">IF($A534="","",IFERROR(VLOOKUP($A534,Transcodifica!$A$5:$J$400,9,FALSE()),""))</f>
        <v/>
      </c>
      <c r="M534" s="8" t="str">
        <f aca="false">IF($A534="","",IF($E534="APPROVATO",1,IF($E534="In svolgimento",IF($F534="",0,$F534),0)))</f>
        <v/>
      </c>
      <c r="N534" s="10" t="str">
        <f aca="false">IF(OR($A534="",$I534="NON MAPPATO",$I534=""),"",$L534*$M534)</f>
        <v/>
      </c>
    </row>
    <row r="535" customFormat="false" ht="15" hidden="false" customHeight="false" outlineLevel="0" collapsed="false">
      <c r="A535" s="6"/>
      <c r="B535" s="7"/>
      <c r="C535" s="6"/>
      <c r="D535" s="6"/>
      <c r="E535" s="6"/>
      <c r="F535" s="8"/>
      <c r="G535" s="9"/>
      <c r="H535" s="7"/>
      <c r="I535" s="6" t="str">
        <f aca="false">IF($A535="","",IFERROR(VLOOKUP($A535,Transcodifica!$A$5:$J$400,5,FALSE()),"NON MAPPATO"))</f>
        <v/>
      </c>
      <c r="J535" s="6" t="str">
        <f aca="false">IF($A535="","",IFERROR(VLOOKUP($A535,Transcodifica!$A$5:$J$400,7,FALSE()),""))</f>
        <v/>
      </c>
      <c r="K535" s="6" t="str">
        <f aca="false">IF($A535="","",IFERROR(VLOOKUP($A535,Transcodifica!$A$5:$J$400,8,FALSE()),""))</f>
        <v/>
      </c>
      <c r="L535" s="6" t="str">
        <f aca="false">IF($A535="","",IFERROR(VLOOKUP($A535,Transcodifica!$A$5:$J$400,9,FALSE()),""))</f>
        <v/>
      </c>
      <c r="M535" s="8" t="str">
        <f aca="false">IF($A535="","",IF($E535="APPROVATO",1,IF($E535="In svolgimento",IF($F535="",0,$F535),0)))</f>
        <v/>
      </c>
      <c r="N535" s="10" t="str">
        <f aca="false">IF(OR($A535="",$I535="NON MAPPATO",$I535=""),"",$L535*$M535)</f>
        <v/>
      </c>
    </row>
    <row r="536" customFormat="false" ht="15" hidden="false" customHeight="false" outlineLevel="0" collapsed="false">
      <c r="A536" s="6"/>
      <c r="B536" s="7"/>
      <c r="C536" s="6"/>
      <c r="D536" s="6"/>
      <c r="E536" s="6"/>
      <c r="F536" s="8"/>
      <c r="G536" s="9"/>
      <c r="H536" s="7"/>
      <c r="I536" s="6" t="str">
        <f aca="false">IF($A536="","",IFERROR(VLOOKUP($A536,Transcodifica!$A$5:$J$400,5,FALSE()),"NON MAPPATO"))</f>
        <v/>
      </c>
      <c r="J536" s="6" t="str">
        <f aca="false">IF($A536="","",IFERROR(VLOOKUP($A536,Transcodifica!$A$5:$J$400,7,FALSE()),""))</f>
        <v/>
      </c>
      <c r="K536" s="6" t="str">
        <f aca="false">IF($A536="","",IFERROR(VLOOKUP($A536,Transcodifica!$A$5:$J$400,8,FALSE()),""))</f>
        <v/>
      </c>
      <c r="L536" s="6" t="str">
        <f aca="false">IF($A536="","",IFERROR(VLOOKUP($A536,Transcodifica!$A$5:$J$400,9,FALSE()),""))</f>
        <v/>
      </c>
      <c r="M536" s="8" t="str">
        <f aca="false">IF($A536="","",IF($E536="APPROVATO",1,IF($E536="In svolgimento",IF($F536="",0,$F536),0)))</f>
        <v/>
      </c>
      <c r="N536" s="10" t="str">
        <f aca="false">IF(OR($A536="",$I536="NON MAPPATO",$I536=""),"",$L536*$M536)</f>
        <v/>
      </c>
    </row>
    <row r="537" customFormat="false" ht="15" hidden="false" customHeight="false" outlineLevel="0" collapsed="false">
      <c r="A537" s="6"/>
      <c r="B537" s="7"/>
      <c r="C537" s="6"/>
      <c r="D537" s="6"/>
      <c r="E537" s="6"/>
      <c r="F537" s="8"/>
      <c r="G537" s="9"/>
      <c r="H537" s="7"/>
      <c r="I537" s="6" t="str">
        <f aca="false">IF($A537="","",IFERROR(VLOOKUP($A537,Transcodifica!$A$5:$J$400,5,FALSE()),"NON MAPPATO"))</f>
        <v/>
      </c>
      <c r="J537" s="6" t="str">
        <f aca="false">IF($A537="","",IFERROR(VLOOKUP($A537,Transcodifica!$A$5:$J$400,7,FALSE()),""))</f>
        <v/>
      </c>
      <c r="K537" s="6" t="str">
        <f aca="false">IF($A537="","",IFERROR(VLOOKUP($A537,Transcodifica!$A$5:$J$400,8,FALSE()),""))</f>
        <v/>
      </c>
      <c r="L537" s="6" t="str">
        <f aca="false">IF($A537="","",IFERROR(VLOOKUP($A537,Transcodifica!$A$5:$J$400,9,FALSE()),""))</f>
        <v/>
      </c>
      <c r="M537" s="8" t="str">
        <f aca="false">IF($A537="","",IF($E537="APPROVATO",1,IF($E537="In svolgimento",IF($F537="",0,$F537),0)))</f>
        <v/>
      </c>
      <c r="N537" s="10" t="str">
        <f aca="false">IF(OR($A537="",$I537="NON MAPPATO",$I537=""),"",$L537*$M537)</f>
        <v/>
      </c>
    </row>
    <row r="538" customFormat="false" ht="15" hidden="false" customHeight="false" outlineLevel="0" collapsed="false">
      <c r="A538" s="6"/>
      <c r="B538" s="7"/>
      <c r="C538" s="6"/>
      <c r="D538" s="6"/>
      <c r="E538" s="6"/>
      <c r="F538" s="8"/>
      <c r="G538" s="9"/>
      <c r="H538" s="7"/>
      <c r="I538" s="6" t="str">
        <f aca="false">IF($A538="","",IFERROR(VLOOKUP($A538,Transcodifica!$A$5:$J$400,5,FALSE()),"NON MAPPATO"))</f>
        <v/>
      </c>
      <c r="J538" s="6" t="str">
        <f aca="false">IF($A538="","",IFERROR(VLOOKUP($A538,Transcodifica!$A$5:$J$400,7,FALSE()),""))</f>
        <v/>
      </c>
      <c r="K538" s="6" t="str">
        <f aca="false">IF($A538="","",IFERROR(VLOOKUP($A538,Transcodifica!$A$5:$J$400,8,FALSE()),""))</f>
        <v/>
      </c>
      <c r="L538" s="6" t="str">
        <f aca="false">IF($A538="","",IFERROR(VLOOKUP($A538,Transcodifica!$A$5:$J$400,9,FALSE()),""))</f>
        <v/>
      </c>
      <c r="M538" s="8" t="str">
        <f aca="false">IF($A538="","",IF($E538="APPROVATO",1,IF($E538="In svolgimento",IF($F538="",0,$F538),0)))</f>
        <v/>
      </c>
      <c r="N538" s="10" t="str">
        <f aca="false">IF(OR($A538="",$I538="NON MAPPATO",$I538=""),"",$L538*$M538)</f>
        <v/>
      </c>
    </row>
    <row r="539" customFormat="false" ht="15" hidden="false" customHeight="false" outlineLevel="0" collapsed="false">
      <c r="A539" s="6"/>
      <c r="B539" s="7"/>
      <c r="C539" s="6"/>
      <c r="D539" s="6"/>
      <c r="E539" s="6"/>
      <c r="F539" s="8"/>
      <c r="G539" s="9"/>
      <c r="H539" s="7"/>
      <c r="I539" s="6" t="str">
        <f aca="false">IF($A539="","",IFERROR(VLOOKUP($A539,Transcodifica!$A$5:$J$400,5,FALSE()),"NON MAPPATO"))</f>
        <v/>
      </c>
      <c r="J539" s="6" t="str">
        <f aca="false">IF($A539="","",IFERROR(VLOOKUP($A539,Transcodifica!$A$5:$J$400,7,FALSE()),""))</f>
        <v/>
      </c>
      <c r="K539" s="6" t="str">
        <f aca="false">IF($A539="","",IFERROR(VLOOKUP($A539,Transcodifica!$A$5:$J$400,8,FALSE()),""))</f>
        <v/>
      </c>
      <c r="L539" s="6" t="str">
        <f aca="false">IF($A539="","",IFERROR(VLOOKUP($A539,Transcodifica!$A$5:$J$400,9,FALSE()),""))</f>
        <v/>
      </c>
      <c r="M539" s="8" t="str">
        <f aca="false">IF($A539="","",IF($E539="APPROVATO",1,IF($E539="In svolgimento",IF($F539="",0,$F539),0)))</f>
        <v/>
      </c>
      <c r="N539" s="10" t="str">
        <f aca="false">IF(OR($A539="",$I539="NON MAPPATO",$I539=""),"",$L539*$M539)</f>
        <v/>
      </c>
    </row>
    <row r="540" customFormat="false" ht="15" hidden="false" customHeight="false" outlineLevel="0" collapsed="false">
      <c r="A540" s="6"/>
      <c r="B540" s="7"/>
      <c r="C540" s="6"/>
      <c r="D540" s="6"/>
      <c r="E540" s="6"/>
      <c r="F540" s="8"/>
      <c r="G540" s="9"/>
      <c r="H540" s="7"/>
      <c r="I540" s="6" t="str">
        <f aca="false">IF($A540="","",IFERROR(VLOOKUP($A540,Transcodifica!$A$5:$J$400,5,FALSE()),"NON MAPPATO"))</f>
        <v/>
      </c>
      <c r="J540" s="6" t="str">
        <f aca="false">IF($A540="","",IFERROR(VLOOKUP($A540,Transcodifica!$A$5:$J$400,7,FALSE()),""))</f>
        <v/>
      </c>
      <c r="K540" s="6" t="str">
        <f aca="false">IF($A540="","",IFERROR(VLOOKUP($A540,Transcodifica!$A$5:$J$400,8,FALSE()),""))</f>
        <v/>
      </c>
      <c r="L540" s="6" t="str">
        <f aca="false">IF($A540="","",IFERROR(VLOOKUP($A540,Transcodifica!$A$5:$J$400,9,FALSE()),""))</f>
        <v/>
      </c>
      <c r="M540" s="8" t="str">
        <f aca="false">IF($A540="","",IF($E540="APPROVATO",1,IF($E540="In svolgimento",IF($F540="",0,$F540),0)))</f>
        <v/>
      </c>
      <c r="N540" s="10" t="str">
        <f aca="false">IF(OR($A540="",$I540="NON MAPPATO",$I540=""),"",$L540*$M540)</f>
        <v/>
      </c>
    </row>
    <row r="541" customFormat="false" ht="15" hidden="false" customHeight="false" outlineLevel="0" collapsed="false">
      <c r="A541" s="6"/>
      <c r="B541" s="7"/>
      <c r="C541" s="6"/>
      <c r="D541" s="6"/>
      <c r="E541" s="6"/>
      <c r="F541" s="8"/>
      <c r="G541" s="9"/>
      <c r="H541" s="7"/>
      <c r="I541" s="6" t="str">
        <f aca="false">IF($A541="","",IFERROR(VLOOKUP($A541,Transcodifica!$A$5:$J$400,5,FALSE()),"NON MAPPATO"))</f>
        <v/>
      </c>
      <c r="J541" s="6" t="str">
        <f aca="false">IF($A541="","",IFERROR(VLOOKUP($A541,Transcodifica!$A$5:$J$400,7,FALSE()),""))</f>
        <v/>
      </c>
      <c r="K541" s="6" t="str">
        <f aca="false">IF($A541="","",IFERROR(VLOOKUP($A541,Transcodifica!$A$5:$J$400,8,FALSE()),""))</f>
        <v/>
      </c>
      <c r="L541" s="6" t="str">
        <f aca="false">IF($A541="","",IFERROR(VLOOKUP($A541,Transcodifica!$A$5:$J$400,9,FALSE()),""))</f>
        <v/>
      </c>
      <c r="M541" s="8" t="str">
        <f aca="false">IF($A541="","",IF($E541="APPROVATO",1,IF($E541="In svolgimento",IF($F541="",0,$F541),0)))</f>
        <v/>
      </c>
      <c r="N541" s="10" t="str">
        <f aca="false">IF(OR($A541="",$I541="NON MAPPATO",$I541=""),"",$L541*$M541)</f>
        <v/>
      </c>
    </row>
    <row r="542" customFormat="false" ht="15" hidden="false" customHeight="false" outlineLevel="0" collapsed="false">
      <c r="A542" s="6"/>
      <c r="B542" s="7"/>
      <c r="C542" s="6"/>
      <c r="D542" s="6"/>
      <c r="E542" s="6"/>
      <c r="F542" s="8"/>
      <c r="G542" s="9"/>
      <c r="H542" s="7"/>
      <c r="I542" s="6" t="str">
        <f aca="false">IF($A542="","",IFERROR(VLOOKUP($A542,Transcodifica!$A$5:$J$400,5,FALSE()),"NON MAPPATO"))</f>
        <v/>
      </c>
      <c r="J542" s="6" t="str">
        <f aca="false">IF($A542="","",IFERROR(VLOOKUP($A542,Transcodifica!$A$5:$J$400,7,FALSE()),""))</f>
        <v/>
      </c>
      <c r="K542" s="6" t="str">
        <f aca="false">IF($A542="","",IFERROR(VLOOKUP($A542,Transcodifica!$A$5:$J$400,8,FALSE()),""))</f>
        <v/>
      </c>
      <c r="L542" s="6" t="str">
        <f aca="false">IF($A542="","",IFERROR(VLOOKUP($A542,Transcodifica!$A$5:$J$400,9,FALSE()),""))</f>
        <v/>
      </c>
      <c r="M542" s="8" t="str">
        <f aca="false">IF($A542="","",IF($E542="APPROVATO",1,IF($E542="In svolgimento",IF($F542="",0,$F542),0)))</f>
        <v/>
      </c>
      <c r="N542" s="10" t="str">
        <f aca="false">IF(OR($A542="",$I542="NON MAPPATO",$I542=""),"",$L542*$M542)</f>
        <v/>
      </c>
    </row>
    <row r="543" customFormat="false" ht="15" hidden="false" customHeight="false" outlineLevel="0" collapsed="false">
      <c r="A543" s="6"/>
      <c r="B543" s="7"/>
      <c r="C543" s="6"/>
      <c r="D543" s="6"/>
      <c r="E543" s="6"/>
      <c r="F543" s="8"/>
      <c r="G543" s="9"/>
      <c r="H543" s="7"/>
      <c r="I543" s="6" t="str">
        <f aca="false">IF($A543="","",IFERROR(VLOOKUP($A543,Transcodifica!$A$5:$J$400,5,FALSE()),"NON MAPPATO"))</f>
        <v/>
      </c>
      <c r="J543" s="6" t="str">
        <f aca="false">IF($A543="","",IFERROR(VLOOKUP($A543,Transcodifica!$A$5:$J$400,7,FALSE()),""))</f>
        <v/>
      </c>
      <c r="K543" s="6" t="str">
        <f aca="false">IF($A543="","",IFERROR(VLOOKUP($A543,Transcodifica!$A$5:$J$400,8,FALSE()),""))</f>
        <v/>
      </c>
      <c r="L543" s="6" t="str">
        <f aca="false">IF($A543="","",IFERROR(VLOOKUP($A543,Transcodifica!$A$5:$J$400,9,FALSE()),""))</f>
        <v/>
      </c>
      <c r="M543" s="8" t="str">
        <f aca="false">IF($A543="","",IF($E543="APPROVATO",1,IF($E543="In svolgimento",IF($F543="",0,$F543),0)))</f>
        <v/>
      </c>
      <c r="N543" s="10" t="str">
        <f aca="false">IF(OR($A543="",$I543="NON MAPPATO",$I543=""),"",$L543*$M543)</f>
        <v/>
      </c>
    </row>
    <row r="544" customFormat="false" ht="15" hidden="false" customHeight="false" outlineLevel="0" collapsed="false">
      <c r="A544" s="6"/>
      <c r="B544" s="7"/>
      <c r="C544" s="6"/>
      <c r="D544" s="6"/>
      <c r="E544" s="6"/>
      <c r="F544" s="8"/>
      <c r="G544" s="9"/>
      <c r="H544" s="7"/>
      <c r="I544" s="6" t="str">
        <f aca="false">IF($A544="","",IFERROR(VLOOKUP($A544,Transcodifica!$A$5:$J$400,5,FALSE()),"NON MAPPATO"))</f>
        <v/>
      </c>
      <c r="J544" s="6" t="str">
        <f aca="false">IF($A544="","",IFERROR(VLOOKUP($A544,Transcodifica!$A$5:$J$400,7,FALSE()),""))</f>
        <v/>
      </c>
      <c r="K544" s="6" t="str">
        <f aca="false">IF($A544="","",IFERROR(VLOOKUP($A544,Transcodifica!$A$5:$J$400,8,FALSE()),""))</f>
        <v/>
      </c>
      <c r="L544" s="6" t="str">
        <f aca="false">IF($A544="","",IFERROR(VLOOKUP($A544,Transcodifica!$A$5:$J$400,9,FALSE()),""))</f>
        <v/>
      </c>
      <c r="M544" s="8" t="str">
        <f aca="false">IF($A544="","",IF($E544="APPROVATO",1,IF($E544="In svolgimento",IF($F544="",0,$F544),0)))</f>
        <v/>
      </c>
      <c r="N544" s="10" t="str">
        <f aca="false">IF(OR($A544="",$I544="NON MAPPATO",$I544=""),"",$L544*$M544)</f>
        <v/>
      </c>
    </row>
    <row r="545" customFormat="false" ht="15" hidden="false" customHeight="false" outlineLevel="0" collapsed="false">
      <c r="A545" s="6"/>
      <c r="B545" s="7"/>
      <c r="C545" s="6"/>
      <c r="D545" s="6"/>
      <c r="E545" s="6"/>
      <c r="F545" s="8"/>
      <c r="G545" s="9"/>
      <c r="H545" s="7"/>
      <c r="I545" s="6" t="str">
        <f aca="false">IF($A545="","",IFERROR(VLOOKUP($A545,Transcodifica!$A$5:$J$400,5,FALSE()),"NON MAPPATO"))</f>
        <v/>
      </c>
      <c r="J545" s="6" t="str">
        <f aca="false">IF($A545="","",IFERROR(VLOOKUP($A545,Transcodifica!$A$5:$J$400,7,FALSE()),""))</f>
        <v/>
      </c>
      <c r="K545" s="6" t="str">
        <f aca="false">IF($A545="","",IFERROR(VLOOKUP($A545,Transcodifica!$A$5:$J$400,8,FALSE()),""))</f>
        <v/>
      </c>
      <c r="L545" s="6" t="str">
        <f aca="false">IF($A545="","",IFERROR(VLOOKUP($A545,Transcodifica!$A$5:$J$400,9,FALSE()),""))</f>
        <v/>
      </c>
      <c r="M545" s="8" t="str">
        <f aca="false">IF($A545="","",IF($E545="APPROVATO",1,IF($E545="In svolgimento",IF($F545="",0,$F545),0)))</f>
        <v/>
      </c>
      <c r="N545" s="10" t="str">
        <f aca="false">IF(OR($A545="",$I545="NON MAPPATO",$I545=""),"",$L545*$M545)</f>
        <v/>
      </c>
    </row>
    <row r="546" customFormat="false" ht="15" hidden="false" customHeight="false" outlineLevel="0" collapsed="false">
      <c r="A546" s="6"/>
      <c r="B546" s="7"/>
      <c r="C546" s="6"/>
      <c r="D546" s="6"/>
      <c r="E546" s="6"/>
      <c r="F546" s="8"/>
      <c r="G546" s="9"/>
      <c r="H546" s="7"/>
      <c r="I546" s="6" t="str">
        <f aca="false">IF($A546="","",IFERROR(VLOOKUP($A546,Transcodifica!$A$5:$J$400,5,FALSE()),"NON MAPPATO"))</f>
        <v/>
      </c>
      <c r="J546" s="6" t="str">
        <f aca="false">IF($A546="","",IFERROR(VLOOKUP($A546,Transcodifica!$A$5:$J$400,7,FALSE()),""))</f>
        <v/>
      </c>
      <c r="K546" s="6" t="str">
        <f aca="false">IF($A546="","",IFERROR(VLOOKUP($A546,Transcodifica!$A$5:$J$400,8,FALSE()),""))</f>
        <v/>
      </c>
      <c r="L546" s="6" t="str">
        <f aca="false">IF($A546="","",IFERROR(VLOOKUP($A546,Transcodifica!$A$5:$J$400,9,FALSE()),""))</f>
        <v/>
      </c>
      <c r="M546" s="8" t="str">
        <f aca="false">IF($A546="","",IF($E546="APPROVATO",1,IF($E546="In svolgimento",IF($F546="",0,$F546),0)))</f>
        <v/>
      </c>
      <c r="N546" s="10" t="str">
        <f aca="false">IF(OR($A546="",$I546="NON MAPPATO",$I546=""),"",$L546*$M546)</f>
        <v/>
      </c>
    </row>
    <row r="547" customFormat="false" ht="15" hidden="false" customHeight="false" outlineLevel="0" collapsed="false">
      <c r="A547" s="6"/>
      <c r="B547" s="7"/>
      <c r="C547" s="6"/>
      <c r="D547" s="6"/>
      <c r="E547" s="6"/>
      <c r="F547" s="8"/>
      <c r="G547" s="9"/>
      <c r="H547" s="7"/>
      <c r="I547" s="6" t="str">
        <f aca="false">IF($A547="","",IFERROR(VLOOKUP($A547,Transcodifica!$A$5:$J$400,5,FALSE()),"NON MAPPATO"))</f>
        <v/>
      </c>
      <c r="J547" s="6" t="str">
        <f aca="false">IF($A547="","",IFERROR(VLOOKUP($A547,Transcodifica!$A$5:$J$400,7,FALSE()),""))</f>
        <v/>
      </c>
      <c r="K547" s="6" t="str">
        <f aca="false">IF($A547="","",IFERROR(VLOOKUP($A547,Transcodifica!$A$5:$J$400,8,FALSE()),""))</f>
        <v/>
      </c>
      <c r="L547" s="6" t="str">
        <f aca="false">IF($A547="","",IFERROR(VLOOKUP($A547,Transcodifica!$A$5:$J$400,9,FALSE()),""))</f>
        <v/>
      </c>
      <c r="M547" s="8" t="str">
        <f aca="false">IF($A547="","",IF($E547="APPROVATO",1,IF($E547="In svolgimento",IF($F547="",0,$F547),0)))</f>
        <v/>
      </c>
      <c r="N547" s="10" t="str">
        <f aca="false">IF(OR($A547="",$I547="NON MAPPATO",$I547=""),"",$L547*$M547)</f>
        <v/>
      </c>
    </row>
    <row r="548" customFormat="false" ht="15" hidden="false" customHeight="false" outlineLevel="0" collapsed="false">
      <c r="A548" s="6"/>
      <c r="B548" s="7"/>
      <c r="C548" s="6"/>
      <c r="D548" s="6"/>
      <c r="E548" s="6"/>
      <c r="F548" s="8"/>
      <c r="G548" s="9"/>
      <c r="H548" s="7"/>
      <c r="I548" s="6" t="str">
        <f aca="false">IF($A548="","",IFERROR(VLOOKUP($A548,Transcodifica!$A$5:$J$400,5,FALSE()),"NON MAPPATO"))</f>
        <v/>
      </c>
      <c r="J548" s="6" t="str">
        <f aca="false">IF($A548="","",IFERROR(VLOOKUP($A548,Transcodifica!$A$5:$J$400,7,FALSE()),""))</f>
        <v/>
      </c>
      <c r="K548" s="6" t="str">
        <f aca="false">IF($A548="","",IFERROR(VLOOKUP($A548,Transcodifica!$A$5:$J$400,8,FALSE()),""))</f>
        <v/>
      </c>
      <c r="L548" s="6" t="str">
        <f aca="false">IF($A548="","",IFERROR(VLOOKUP($A548,Transcodifica!$A$5:$J$400,9,FALSE()),""))</f>
        <v/>
      </c>
      <c r="M548" s="8" t="str">
        <f aca="false">IF($A548="","",IF($E548="APPROVATO",1,IF($E548="In svolgimento",IF($F548="",0,$F548),0)))</f>
        <v/>
      </c>
      <c r="N548" s="10" t="str">
        <f aca="false">IF(OR($A548="",$I548="NON MAPPATO",$I548=""),"",$L548*$M548)</f>
        <v/>
      </c>
    </row>
    <row r="549" customFormat="false" ht="15" hidden="false" customHeight="false" outlineLevel="0" collapsed="false">
      <c r="A549" s="6"/>
      <c r="B549" s="7"/>
      <c r="C549" s="6"/>
      <c r="D549" s="6"/>
      <c r="E549" s="6"/>
      <c r="F549" s="8"/>
      <c r="G549" s="9"/>
      <c r="H549" s="7"/>
      <c r="I549" s="6" t="str">
        <f aca="false">IF($A549="","",IFERROR(VLOOKUP($A549,Transcodifica!$A$5:$J$400,5,FALSE()),"NON MAPPATO"))</f>
        <v/>
      </c>
      <c r="J549" s="6" t="str">
        <f aca="false">IF($A549="","",IFERROR(VLOOKUP($A549,Transcodifica!$A$5:$J$400,7,FALSE()),""))</f>
        <v/>
      </c>
      <c r="K549" s="6" t="str">
        <f aca="false">IF($A549="","",IFERROR(VLOOKUP($A549,Transcodifica!$A$5:$J$400,8,FALSE()),""))</f>
        <v/>
      </c>
      <c r="L549" s="6" t="str">
        <f aca="false">IF($A549="","",IFERROR(VLOOKUP($A549,Transcodifica!$A$5:$J$400,9,FALSE()),""))</f>
        <v/>
      </c>
      <c r="M549" s="8" t="str">
        <f aca="false">IF($A549="","",IF($E549="APPROVATO",1,IF($E549="In svolgimento",IF($F549="",0,$F549),0)))</f>
        <v/>
      </c>
      <c r="N549" s="10" t="str">
        <f aca="false">IF(OR($A549="",$I549="NON MAPPATO",$I549=""),"",$L549*$M549)</f>
        <v/>
      </c>
    </row>
    <row r="550" customFormat="false" ht="15" hidden="false" customHeight="false" outlineLevel="0" collapsed="false">
      <c r="A550" s="6"/>
      <c r="B550" s="7"/>
      <c r="C550" s="6"/>
      <c r="D550" s="6"/>
      <c r="E550" s="6"/>
      <c r="F550" s="8"/>
      <c r="G550" s="9"/>
      <c r="H550" s="7"/>
      <c r="I550" s="6" t="str">
        <f aca="false">IF($A550="","",IFERROR(VLOOKUP($A550,Transcodifica!$A$5:$J$400,5,FALSE()),"NON MAPPATO"))</f>
        <v/>
      </c>
      <c r="J550" s="6" t="str">
        <f aca="false">IF($A550="","",IFERROR(VLOOKUP($A550,Transcodifica!$A$5:$J$400,7,FALSE()),""))</f>
        <v/>
      </c>
      <c r="K550" s="6" t="str">
        <f aca="false">IF($A550="","",IFERROR(VLOOKUP($A550,Transcodifica!$A$5:$J$400,8,FALSE()),""))</f>
        <v/>
      </c>
      <c r="L550" s="6" t="str">
        <f aca="false">IF($A550="","",IFERROR(VLOOKUP($A550,Transcodifica!$A$5:$J$400,9,FALSE()),""))</f>
        <v/>
      </c>
      <c r="M550" s="8" t="str">
        <f aca="false">IF($A550="","",IF($E550="APPROVATO",1,IF($E550="In svolgimento",IF($F550="",0,$F550),0)))</f>
        <v/>
      </c>
      <c r="N550" s="10" t="str">
        <f aca="false">IF(OR($A550="",$I550="NON MAPPATO",$I550=""),"",$L550*$M550)</f>
        <v/>
      </c>
    </row>
    <row r="551" customFormat="false" ht="15" hidden="false" customHeight="false" outlineLevel="0" collapsed="false">
      <c r="A551" s="6"/>
      <c r="B551" s="7"/>
      <c r="C551" s="6"/>
      <c r="D551" s="6"/>
      <c r="E551" s="6"/>
      <c r="F551" s="8"/>
      <c r="G551" s="9"/>
      <c r="H551" s="7"/>
      <c r="I551" s="6" t="str">
        <f aca="false">IF($A551="","",IFERROR(VLOOKUP($A551,Transcodifica!$A$5:$J$400,5,FALSE()),"NON MAPPATO"))</f>
        <v/>
      </c>
      <c r="J551" s="6" t="str">
        <f aca="false">IF($A551="","",IFERROR(VLOOKUP($A551,Transcodifica!$A$5:$J$400,7,FALSE()),""))</f>
        <v/>
      </c>
      <c r="K551" s="6" t="str">
        <f aca="false">IF($A551="","",IFERROR(VLOOKUP($A551,Transcodifica!$A$5:$J$400,8,FALSE()),""))</f>
        <v/>
      </c>
      <c r="L551" s="6" t="str">
        <f aca="false">IF($A551="","",IFERROR(VLOOKUP($A551,Transcodifica!$A$5:$J$400,9,FALSE()),""))</f>
        <v/>
      </c>
      <c r="M551" s="8" t="str">
        <f aca="false">IF($A551="","",IF($E551="APPROVATO",1,IF($E551="In svolgimento",IF($F551="",0,$F551),0)))</f>
        <v/>
      </c>
      <c r="N551" s="10" t="str">
        <f aca="false">IF(OR($A551="",$I551="NON MAPPATO",$I551=""),"",$L551*$M551)</f>
        <v/>
      </c>
    </row>
    <row r="552" customFormat="false" ht="15" hidden="false" customHeight="false" outlineLevel="0" collapsed="false">
      <c r="A552" s="6"/>
      <c r="B552" s="7"/>
      <c r="C552" s="6"/>
      <c r="D552" s="6"/>
      <c r="E552" s="6"/>
      <c r="F552" s="8"/>
      <c r="G552" s="9"/>
      <c r="H552" s="7"/>
      <c r="I552" s="6" t="str">
        <f aca="false">IF($A552="","",IFERROR(VLOOKUP($A552,Transcodifica!$A$5:$J$400,5,FALSE()),"NON MAPPATO"))</f>
        <v/>
      </c>
      <c r="J552" s="6" t="str">
        <f aca="false">IF($A552="","",IFERROR(VLOOKUP($A552,Transcodifica!$A$5:$J$400,7,FALSE()),""))</f>
        <v/>
      </c>
      <c r="K552" s="6" t="str">
        <f aca="false">IF($A552="","",IFERROR(VLOOKUP($A552,Transcodifica!$A$5:$J$400,8,FALSE()),""))</f>
        <v/>
      </c>
      <c r="L552" s="6" t="str">
        <f aca="false">IF($A552="","",IFERROR(VLOOKUP($A552,Transcodifica!$A$5:$J$400,9,FALSE()),""))</f>
        <v/>
      </c>
      <c r="M552" s="8" t="str">
        <f aca="false">IF($A552="","",IF($E552="APPROVATO",1,IF($E552="In svolgimento",IF($F552="",0,$F552),0)))</f>
        <v/>
      </c>
      <c r="N552" s="10" t="str">
        <f aca="false">IF(OR($A552="",$I552="NON MAPPATO",$I552=""),"",$L552*$M552)</f>
        <v/>
      </c>
    </row>
    <row r="553" customFormat="false" ht="15" hidden="false" customHeight="false" outlineLevel="0" collapsed="false">
      <c r="A553" s="6"/>
      <c r="B553" s="7"/>
      <c r="C553" s="6"/>
      <c r="D553" s="6"/>
      <c r="E553" s="6"/>
      <c r="F553" s="8"/>
      <c r="G553" s="9"/>
      <c r="H553" s="7"/>
      <c r="I553" s="6" t="str">
        <f aca="false">IF($A553="","",IFERROR(VLOOKUP($A553,Transcodifica!$A$5:$J$400,5,FALSE()),"NON MAPPATO"))</f>
        <v/>
      </c>
      <c r="J553" s="6" t="str">
        <f aca="false">IF($A553="","",IFERROR(VLOOKUP($A553,Transcodifica!$A$5:$J$400,7,FALSE()),""))</f>
        <v/>
      </c>
      <c r="K553" s="6" t="str">
        <f aca="false">IF($A553="","",IFERROR(VLOOKUP($A553,Transcodifica!$A$5:$J$400,8,FALSE()),""))</f>
        <v/>
      </c>
      <c r="L553" s="6" t="str">
        <f aca="false">IF($A553="","",IFERROR(VLOOKUP($A553,Transcodifica!$A$5:$J$400,9,FALSE()),""))</f>
        <v/>
      </c>
      <c r="M553" s="8" t="str">
        <f aca="false">IF($A553="","",IF($E553="APPROVATO",1,IF($E553="In svolgimento",IF($F553="",0,$F553),0)))</f>
        <v/>
      </c>
      <c r="N553" s="10" t="str">
        <f aca="false">IF(OR($A553="",$I553="NON MAPPATO",$I553=""),"",$L553*$M553)</f>
        <v/>
      </c>
    </row>
    <row r="554" customFormat="false" ht="15" hidden="false" customHeight="false" outlineLevel="0" collapsed="false">
      <c r="A554" s="6"/>
      <c r="B554" s="7"/>
      <c r="C554" s="6"/>
      <c r="D554" s="6"/>
      <c r="E554" s="6"/>
      <c r="F554" s="8"/>
      <c r="G554" s="9"/>
      <c r="H554" s="7"/>
      <c r="I554" s="6" t="str">
        <f aca="false">IF($A554="","",IFERROR(VLOOKUP($A554,Transcodifica!$A$5:$J$400,5,FALSE()),"NON MAPPATO"))</f>
        <v/>
      </c>
      <c r="J554" s="6" t="str">
        <f aca="false">IF($A554="","",IFERROR(VLOOKUP($A554,Transcodifica!$A$5:$J$400,7,FALSE()),""))</f>
        <v/>
      </c>
      <c r="K554" s="6" t="str">
        <f aca="false">IF($A554="","",IFERROR(VLOOKUP($A554,Transcodifica!$A$5:$J$400,8,FALSE()),""))</f>
        <v/>
      </c>
      <c r="L554" s="6" t="str">
        <f aca="false">IF($A554="","",IFERROR(VLOOKUP($A554,Transcodifica!$A$5:$J$400,9,FALSE()),""))</f>
        <v/>
      </c>
      <c r="M554" s="8" t="str">
        <f aca="false">IF($A554="","",IF($E554="APPROVATO",1,IF($E554="In svolgimento",IF($F554="",0,$F554),0)))</f>
        <v/>
      </c>
      <c r="N554" s="10" t="str">
        <f aca="false">IF(OR($A554="",$I554="NON MAPPATO",$I554=""),"",$L554*$M554)</f>
        <v/>
      </c>
    </row>
    <row r="555" customFormat="false" ht="15" hidden="false" customHeight="false" outlineLevel="0" collapsed="false">
      <c r="A555" s="6"/>
      <c r="B555" s="7"/>
      <c r="C555" s="6"/>
      <c r="D555" s="6"/>
      <c r="E555" s="6"/>
      <c r="F555" s="8"/>
      <c r="G555" s="9"/>
      <c r="H555" s="7"/>
      <c r="I555" s="6" t="str">
        <f aca="false">IF($A555="","",IFERROR(VLOOKUP($A555,Transcodifica!$A$5:$J$400,5,FALSE()),"NON MAPPATO"))</f>
        <v/>
      </c>
      <c r="J555" s="6" t="str">
        <f aca="false">IF($A555="","",IFERROR(VLOOKUP($A555,Transcodifica!$A$5:$J$400,7,FALSE()),""))</f>
        <v/>
      </c>
      <c r="K555" s="6" t="str">
        <f aca="false">IF($A555="","",IFERROR(VLOOKUP($A555,Transcodifica!$A$5:$J$400,8,FALSE()),""))</f>
        <v/>
      </c>
      <c r="L555" s="6" t="str">
        <f aca="false">IF($A555="","",IFERROR(VLOOKUP($A555,Transcodifica!$A$5:$J$400,9,FALSE()),""))</f>
        <v/>
      </c>
      <c r="M555" s="8" t="str">
        <f aca="false">IF($A555="","",IF($E555="APPROVATO",1,IF($E555="In svolgimento",IF($F555="",0,$F555),0)))</f>
        <v/>
      </c>
      <c r="N555" s="10" t="str">
        <f aca="false">IF(OR($A555="",$I555="NON MAPPATO",$I555=""),"",$L555*$M555)</f>
        <v/>
      </c>
    </row>
    <row r="556" customFormat="false" ht="15" hidden="false" customHeight="false" outlineLevel="0" collapsed="false">
      <c r="A556" s="6"/>
      <c r="B556" s="7"/>
      <c r="C556" s="6"/>
      <c r="D556" s="6"/>
      <c r="E556" s="6"/>
      <c r="F556" s="8"/>
      <c r="G556" s="9"/>
      <c r="H556" s="7"/>
      <c r="I556" s="6" t="str">
        <f aca="false">IF($A556="","",IFERROR(VLOOKUP($A556,Transcodifica!$A$5:$J$400,5,FALSE()),"NON MAPPATO"))</f>
        <v/>
      </c>
      <c r="J556" s="6" t="str">
        <f aca="false">IF($A556="","",IFERROR(VLOOKUP($A556,Transcodifica!$A$5:$J$400,7,FALSE()),""))</f>
        <v/>
      </c>
      <c r="K556" s="6" t="str">
        <f aca="false">IF($A556="","",IFERROR(VLOOKUP($A556,Transcodifica!$A$5:$J$400,8,FALSE()),""))</f>
        <v/>
      </c>
      <c r="L556" s="6" t="str">
        <f aca="false">IF($A556="","",IFERROR(VLOOKUP($A556,Transcodifica!$A$5:$J$400,9,FALSE()),""))</f>
        <v/>
      </c>
      <c r="M556" s="8" t="str">
        <f aca="false">IF($A556="","",IF($E556="APPROVATO",1,IF($E556="In svolgimento",IF($F556="",0,$F556),0)))</f>
        <v/>
      </c>
      <c r="N556" s="10" t="str">
        <f aca="false">IF(OR($A556="",$I556="NON MAPPATO",$I556=""),"",$L556*$M556)</f>
        <v/>
      </c>
    </row>
    <row r="557" customFormat="false" ht="15" hidden="false" customHeight="false" outlineLevel="0" collapsed="false">
      <c r="A557" s="6"/>
      <c r="B557" s="7"/>
      <c r="C557" s="6"/>
      <c r="D557" s="6"/>
      <c r="E557" s="6"/>
      <c r="F557" s="8"/>
      <c r="G557" s="9"/>
      <c r="H557" s="7"/>
      <c r="I557" s="6" t="str">
        <f aca="false">IF($A557="","",IFERROR(VLOOKUP($A557,Transcodifica!$A$5:$J$400,5,FALSE()),"NON MAPPATO"))</f>
        <v/>
      </c>
      <c r="J557" s="6" t="str">
        <f aca="false">IF($A557="","",IFERROR(VLOOKUP($A557,Transcodifica!$A$5:$J$400,7,FALSE()),""))</f>
        <v/>
      </c>
      <c r="K557" s="6" t="str">
        <f aca="false">IF($A557="","",IFERROR(VLOOKUP($A557,Transcodifica!$A$5:$J$400,8,FALSE()),""))</f>
        <v/>
      </c>
      <c r="L557" s="6" t="str">
        <f aca="false">IF($A557="","",IFERROR(VLOOKUP($A557,Transcodifica!$A$5:$J$400,9,FALSE()),""))</f>
        <v/>
      </c>
      <c r="M557" s="8" t="str">
        <f aca="false">IF($A557="","",IF($E557="APPROVATO",1,IF($E557="In svolgimento",IF($F557="",0,$F557),0)))</f>
        <v/>
      </c>
      <c r="N557" s="10" t="str">
        <f aca="false">IF(OR($A557="",$I557="NON MAPPATO",$I557=""),"",$L557*$M557)</f>
        <v/>
      </c>
    </row>
    <row r="558" customFormat="false" ht="15" hidden="false" customHeight="false" outlineLevel="0" collapsed="false">
      <c r="A558" s="6"/>
      <c r="B558" s="7"/>
      <c r="C558" s="6"/>
      <c r="D558" s="6"/>
      <c r="E558" s="6"/>
      <c r="F558" s="8"/>
      <c r="G558" s="9"/>
      <c r="H558" s="7"/>
      <c r="I558" s="6" t="str">
        <f aca="false">IF($A558="","",IFERROR(VLOOKUP($A558,Transcodifica!$A$5:$J$400,5,FALSE()),"NON MAPPATO"))</f>
        <v/>
      </c>
      <c r="J558" s="6" t="str">
        <f aca="false">IF($A558="","",IFERROR(VLOOKUP($A558,Transcodifica!$A$5:$J$400,7,FALSE()),""))</f>
        <v/>
      </c>
      <c r="K558" s="6" t="str">
        <f aca="false">IF($A558="","",IFERROR(VLOOKUP($A558,Transcodifica!$A$5:$J$400,8,FALSE()),""))</f>
        <v/>
      </c>
      <c r="L558" s="6" t="str">
        <f aca="false">IF($A558="","",IFERROR(VLOOKUP($A558,Transcodifica!$A$5:$J$400,9,FALSE()),""))</f>
        <v/>
      </c>
      <c r="M558" s="8" t="str">
        <f aca="false">IF($A558="","",IF($E558="APPROVATO",1,IF($E558="In svolgimento",IF($F558="",0,$F558),0)))</f>
        <v/>
      </c>
      <c r="N558" s="10" t="str">
        <f aca="false">IF(OR($A558="",$I558="NON MAPPATO",$I558=""),"",$L558*$M558)</f>
        <v/>
      </c>
    </row>
    <row r="559" customFormat="false" ht="15" hidden="false" customHeight="false" outlineLevel="0" collapsed="false">
      <c r="A559" s="6"/>
      <c r="B559" s="7"/>
      <c r="C559" s="6"/>
      <c r="D559" s="6"/>
      <c r="E559" s="6"/>
      <c r="F559" s="8"/>
      <c r="G559" s="9"/>
      <c r="H559" s="7"/>
      <c r="I559" s="6" t="str">
        <f aca="false">IF($A559="","",IFERROR(VLOOKUP($A559,Transcodifica!$A$5:$J$400,5,FALSE()),"NON MAPPATO"))</f>
        <v/>
      </c>
      <c r="J559" s="6" t="str">
        <f aca="false">IF($A559="","",IFERROR(VLOOKUP($A559,Transcodifica!$A$5:$J$400,7,FALSE()),""))</f>
        <v/>
      </c>
      <c r="K559" s="6" t="str">
        <f aca="false">IF($A559="","",IFERROR(VLOOKUP($A559,Transcodifica!$A$5:$J$400,8,FALSE()),""))</f>
        <v/>
      </c>
      <c r="L559" s="6" t="str">
        <f aca="false">IF($A559="","",IFERROR(VLOOKUP($A559,Transcodifica!$A$5:$J$400,9,FALSE()),""))</f>
        <v/>
      </c>
      <c r="M559" s="8" t="str">
        <f aca="false">IF($A559="","",IF($E559="APPROVATO",1,IF($E559="In svolgimento",IF($F559="",0,$F559),0)))</f>
        <v/>
      </c>
      <c r="N559" s="10" t="str">
        <f aca="false">IF(OR($A559="",$I559="NON MAPPATO",$I559=""),"",$L559*$M559)</f>
        <v/>
      </c>
    </row>
    <row r="560" customFormat="false" ht="15" hidden="false" customHeight="false" outlineLevel="0" collapsed="false">
      <c r="A560" s="6"/>
      <c r="B560" s="7"/>
      <c r="C560" s="6"/>
      <c r="D560" s="6"/>
      <c r="E560" s="6"/>
      <c r="F560" s="8"/>
      <c r="G560" s="9"/>
      <c r="H560" s="7"/>
      <c r="I560" s="6" t="str">
        <f aca="false">IF($A560="","",IFERROR(VLOOKUP($A560,Transcodifica!$A$5:$J$400,5,FALSE()),"NON MAPPATO"))</f>
        <v/>
      </c>
      <c r="J560" s="6" t="str">
        <f aca="false">IF($A560="","",IFERROR(VLOOKUP($A560,Transcodifica!$A$5:$J$400,7,FALSE()),""))</f>
        <v/>
      </c>
      <c r="K560" s="6" t="str">
        <f aca="false">IF($A560="","",IFERROR(VLOOKUP($A560,Transcodifica!$A$5:$J$400,8,FALSE()),""))</f>
        <v/>
      </c>
      <c r="L560" s="6" t="str">
        <f aca="false">IF($A560="","",IFERROR(VLOOKUP($A560,Transcodifica!$A$5:$J$400,9,FALSE()),""))</f>
        <v/>
      </c>
      <c r="M560" s="8" t="str">
        <f aca="false">IF($A560="","",IF($E560="APPROVATO",1,IF($E560="In svolgimento",IF($F560="",0,$F560),0)))</f>
        <v/>
      </c>
      <c r="N560" s="10" t="str">
        <f aca="false">IF(OR($A560="",$I560="NON MAPPATO",$I560=""),"",$L560*$M560)</f>
        <v/>
      </c>
    </row>
    <row r="561" customFormat="false" ht="15" hidden="false" customHeight="false" outlineLevel="0" collapsed="false">
      <c r="A561" s="6"/>
      <c r="B561" s="7"/>
      <c r="C561" s="6"/>
      <c r="D561" s="6"/>
      <c r="E561" s="6"/>
      <c r="F561" s="8"/>
      <c r="G561" s="9"/>
      <c r="H561" s="7"/>
      <c r="I561" s="6" t="str">
        <f aca="false">IF($A561="","",IFERROR(VLOOKUP($A561,Transcodifica!$A$5:$J$400,5,FALSE()),"NON MAPPATO"))</f>
        <v/>
      </c>
      <c r="J561" s="6" t="str">
        <f aca="false">IF($A561="","",IFERROR(VLOOKUP($A561,Transcodifica!$A$5:$J$400,7,FALSE()),""))</f>
        <v/>
      </c>
      <c r="K561" s="6" t="str">
        <f aca="false">IF($A561="","",IFERROR(VLOOKUP($A561,Transcodifica!$A$5:$J$400,8,FALSE()),""))</f>
        <v/>
      </c>
      <c r="L561" s="6" t="str">
        <f aca="false">IF($A561="","",IFERROR(VLOOKUP($A561,Transcodifica!$A$5:$J$400,9,FALSE()),""))</f>
        <v/>
      </c>
      <c r="M561" s="8" t="str">
        <f aca="false">IF($A561="","",IF($E561="APPROVATO",1,IF($E561="In svolgimento",IF($F561="",0,$F561),0)))</f>
        <v/>
      </c>
      <c r="N561" s="10" t="str">
        <f aca="false">IF(OR($A561="",$I561="NON MAPPATO",$I561=""),"",$L561*$M561)</f>
        <v/>
      </c>
    </row>
    <row r="562" customFormat="false" ht="15" hidden="false" customHeight="false" outlineLevel="0" collapsed="false">
      <c r="A562" s="6"/>
      <c r="B562" s="7"/>
      <c r="C562" s="6"/>
      <c r="D562" s="6"/>
      <c r="E562" s="6"/>
      <c r="F562" s="8"/>
      <c r="G562" s="9"/>
      <c r="H562" s="7"/>
      <c r="I562" s="6" t="str">
        <f aca="false">IF($A562="","",IFERROR(VLOOKUP($A562,Transcodifica!$A$5:$J$400,5,FALSE()),"NON MAPPATO"))</f>
        <v/>
      </c>
      <c r="J562" s="6" t="str">
        <f aca="false">IF($A562="","",IFERROR(VLOOKUP($A562,Transcodifica!$A$5:$J$400,7,FALSE()),""))</f>
        <v/>
      </c>
      <c r="K562" s="6" t="str">
        <f aca="false">IF($A562="","",IFERROR(VLOOKUP($A562,Transcodifica!$A$5:$J$400,8,FALSE()),""))</f>
        <v/>
      </c>
      <c r="L562" s="6" t="str">
        <f aca="false">IF($A562="","",IFERROR(VLOOKUP($A562,Transcodifica!$A$5:$J$400,9,FALSE()),""))</f>
        <v/>
      </c>
      <c r="M562" s="8" t="str">
        <f aca="false">IF($A562="","",IF($E562="APPROVATO",1,IF($E562="In svolgimento",IF($F562="",0,$F562),0)))</f>
        <v/>
      </c>
      <c r="N562" s="10" t="str">
        <f aca="false">IF(OR($A562="",$I562="NON MAPPATO",$I562=""),"",$L562*$M562)</f>
        <v/>
      </c>
    </row>
    <row r="563" customFormat="false" ht="15" hidden="false" customHeight="false" outlineLevel="0" collapsed="false">
      <c r="A563" s="6"/>
      <c r="B563" s="7"/>
      <c r="C563" s="6"/>
      <c r="D563" s="6"/>
      <c r="E563" s="6"/>
      <c r="F563" s="8"/>
      <c r="G563" s="9"/>
      <c r="H563" s="7"/>
      <c r="I563" s="6" t="str">
        <f aca="false">IF($A563="","",IFERROR(VLOOKUP($A563,Transcodifica!$A$5:$J$400,5,FALSE()),"NON MAPPATO"))</f>
        <v/>
      </c>
      <c r="J563" s="6" t="str">
        <f aca="false">IF($A563="","",IFERROR(VLOOKUP($A563,Transcodifica!$A$5:$J$400,7,FALSE()),""))</f>
        <v/>
      </c>
      <c r="K563" s="6" t="str">
        <f aca="false">IF($A563="","",IFERROR(VLOOKUP($A563,Transcodifica!$A$5:$J$400,8,FALSE()),""))</f>
        <v/>
      </c>
      <c r="L563" s="6" t="str">
        <f aca="false">IF($A563="","",IFERROR(VLOOKUP($A563,Transcodifica!$A$5:$J$400,9,FALSE()),""))</f>
        <v/>
      </c>
      <c r="M563" s="8" t="str">
        <f aca="false">IF($A563="","",IF($E563="APPROVATO",1,IF($E563="In svolgimento",IF($F563="",0,$F563),0)))</f>
        <v/>
      </c>
      <c r="N563" s="10" t="str">
        <f aca="false">IF(OR($A563="",$I563="NON MAPPATO",$I563=""),"",$L563*$M563)</f>
        <v/>
      </c>
    </row>
    <row r="564" customFormat="false" ht="15" hidden="false" customHeight="false" outlineLevel="0" collapsed="false">
      <c r="A564" s="6"/>
      <c r="B564" s="7"/>
      <c r="C564" s="6"/>
      <c r="D564" s="6"/>
      <c r="E564" s="6"/>
      <c r="F564" s="8"/>
      <c r="G564" s="9"/>
      <c r="H564" s="7"/>
      <c r="I564" s="6" t="str">
        <f aca="false">IF($A564="","",IFERROR(VLOOKUP($A564,Transcodifica!$A$5:$J$400,5,FALSE()),"NON MAPPATO"))</f>
        <v/>
      </c>
      <c r="J564" s="6" t="str">
        <f aca="false">IF($A564="","",IFERROR(VLOOKUP($A564,Transcodifica!$A$5:$J$400,7,FALSE()),""))</f>
        <v/>
      </c>
      <c r="K564" s="6" t="str">
        <f aca="false">IF($A564="","",IFERROR(VLOOKUP($A564,Transcodifica!$A$5:$J$400,8,FALSE()),""))</f>
        <v/>
      </c>
      <c r="L564" s="6" t="str">
        <f aca="false">IF($A564="","",IFERROR(VLOOKUP($A564,Transcodifica!$A$5:$J$400,9,FALSE()),""))</f>
        <v/>
      </c>
      <c r="M564" s="8" t="str">
        <f aca="false">IF($A564="","",IF($E564="APPROVATO",1,IF($E564="In svolgimento",IF($F564="",0,$F564),0)))</f>
        <v/>
      </c>
      <c r="N564" s="10" t="str">
        <f aca="false">IF(OR($A564="",$I564="NON MAPPATO",$I564=""),"",$L564*$M564)</f>
        <v/>
      </c>
    </row>
    <row r="565" customFormat="false" ht="15" hidden="false" customHeight="false" outlineLevel="0" collapsed="false">
      <c r="A565" s="6"/>
      <c r="B565" s="7"/>
      <c r="C565" s="6"/>
      <c r="D565" s="6"/>
      <c r="E565" s="6"/>
      <c r="F565" s="8"/>
      <c r="G565" s="9"/>
      <c r="H565" s="7"/>
      <c r="I565" s="6" t="str">
        <f aca="false">IF($A565="","",IFERROR(VLOOKUP($A565,Transcodifica!$A$5:$J$400,5,FALSE()),"NON MAPPATO"))</f>
        <v/>
      </c>
      <c r="J565" s="6" t="str">
        <f aca="false">IF($A565="","",IFERROR(VLOOKUP($A565,Transcodifica!$A$5:$J$400,7,FALSE()),""))</f>
        <v/>
      </c>
      <c r="K565" s="6" t="str">
        <f aca="false">IF($A565="","",IFERROR(VLOOKUP($A565,Transcodifica!$A$5:$J$400,8,FALSE()),""))</f>
        <v/>
      </c>
      <c r="L565" s="6" t="str">
        <f aca="false">IF($A565="","",IFERROR(VLOOKUP($A565,Transcodifica!$A$5:$J$400,9,FALSE()),""))</f>
        <v/>
      </c>
      <c r="M565" s="8" t="str">
        <f aca="false">IF($A565="","",IF($E565="APPROVATO",1,IF($E565="In svolgimento",IF($F565="",0,$F565),0)))</f>
        <v/>
      </c>
      <c r="N565" s="10" t="str">
        <f aca="false">IF(OR($A565="",$I565="NON MAPPATO",$I565=""),"",$L565*$M565)</f>
        <v/>
      </c>
    </row>
    <row r="566" customFormat="false" ht="15" hidden="false" customHeight="false" outlineLevel="0" collapsed="false">
      <c r="A566" s="6"/>
      <c r="B566" s="7"/>
      <c r="C566" s="6"/>
      <c r="D566" s="6"/>
      <c r="E566" s="6"/>
      <c r="F566" s="8"/>
      <c r="G566" s="9"/>
      <c r="H566" s="7"/>
      <c r="I566" s="6" t="str">
        <f aca="false">IF($A566="","",IFERROR(VLOOKUP($A566,Transcodifica!$A$5:$J$400,5,FALSE()),"NON MAPPATO"))</f>
        <v/>
      </c>
      <c r="J566" s="6" t="str">
        <f aca="false">IF($A566="","",IFERROR(VLOOKUP($A566,Transcodifica!$A$5:$J$400,7,FALSE()),""))</f>
        <v/>
      </c>
      <c r="K566" s="6" t="str">
        <f aca="false">IF($A566="","",IFERROR(VLOOKUP($A566,Transcodifica!$A$5:$J$400,8,FALSE()),""))</f>
        <v/>
      </c>
      <c r="L566" s="6" t="str">
        <f aca="false">IF($A566="","",IFERROR(VLOOKUP($A566,Transcodifica!$A$5:$J$400,9,FALSE()),""))</f>
        <v/>
      </c>
      <c r="M566" s="8" t="str">
        <f aca="false">IF($A566="","",IF($E566="APPROVATO",1,IF($E566="In svolgimento",IF($F566="",0,$F566),0)))</f>
        <v/>
      </c>
      <c r="N566" s="10" t="str">
        <f aca="false">IF(OR($A566="",$I566="NON MAPPATO",$I566=""),"",$L566*$M566)</f>
        <v/>
      </c>
    </row>
    <row r="567" customFormat="false" ht="15" hidden="false" customHeight="false" outlineLevel="0" collapsed="false">
      <c r="A567" s="6"/>
      <c r="B567" s="7"/>
      <c r="C567" s="6"/>
      <c r="D567" s="6"/>
      <c r="E567" s="6"/>
      <c r="F567" s="8"/>
      <c r="G567" s="9"/>
      <c r="H567" s="7"/>
      <c r="I567" s="6" t="str">
        <f aca="false">IF($A567="","",IFERROR(VLOOKUP($A567,Transcodifica!$A$5:$J$400,5,FALSE()),"NON MAPPATO"))</f>
        <v/>
      </c>
      <c r="J567" s="6" t="str">
        <f aca="false">IF($A567="","",IFERROR(VLOOKUP($A567,Transcodifica!$A$5:$J$400,7,FALSE()),""))</f>
        <v/>
      </c>
      <c r="K567" s="6" t="str">
        <f aca="false">IF($A567="","",IFERROR(VLOOKUP($A567,Transcodifica!$A$5:$J$400,8,FALSE()),""))</f>
        <v/>
      </c>
      <c r="L567" s="6" t="str">
        <f aca="false">IF($A567="","",IFERROR(VLOOKUP($A567,Transcodifica!$A$5:$J$400,9,FALSE()),""))</f>
        <v/>
      </c>
      <c r="M567" s="8" t="str">
        <f aca="false">IF($A567="","",IF($E567="APPROVATO",1,IF($E567="In svolgimento",IF($F567="",0,$F567),0)))</f>
        <v/>
      </c>
      <c r="N567" s="10" t="str">
        <f aca="false">IF(OR($A567="",$I567="NON MAPPATO",$I567=""),"",$L567*$M567)</f>
        <v/>
      </c>
    </row>
    <row r="568" customFormat="false" ht="15" hidden="false" customHeight="false" outlineLevel="0" collapsed="false">
      <c r="A568" s="6"/>
      <c r="B568" s="7"/>
      <c r="C568" s="6"/>
      <c r="D568" s="6"/>
      <c r="E568" s="6"/>
      <c r="F568" s="8"/>
      <c r="G568" s="9"/>
      <c r="H568" s="7"/>
      <c r="I568" s="6" t="str">
        <f aca="false">IF($A568="","",IFERROR(VLOOKUP($A568,Transcodifica!$A$5:$J$400,5,FALSE()),"NON MAPPATO"))</f>
        <v/>
      </c>
      <c r="J568" s="6" t="str">
        <f aca="false">IF($A568="","",IFERROR(VLOOKUP($A568,Transcodifica!$A$5:$J$400,7,FALSE()),""))</f>
        <v/>
      </c>
      <c r="K568" s="6" t="str">
        <f aca="false">IF($A568="","",IFERROR(VLOOKUP($A568,Transcodifica!$A$5:$J$400,8,FALSE()),""))</f>
        <v/>
      </c>
      <c r="L568" s="6" t="str">
        <f aca="false">IF($A568="","",IFERROR(VLOOKUP($A568,Transcodifica!$A$5:$J$400,9,FALSE()),""))</f>
        <v/>
      </c>
      <c r="M568" s="8" t="str">
        <f aca="false">IF($A568="","",IF($E568="APPROVATO",1,IF($E568="In svolgimento",IF($F568="",0,$F568),0)))</f>
        <v/>
      </c>
      <c r="N568" s="10" t="str">
        <f aca="false">IF(OR($A568="",$I568="NON MAPPATO",$I568=""),"",$L568*$M568)</f>
        <v/>
      </c>
    </row>
    <row r="569" customFormat="false" ht="15" hidden="false" customHeight="false" outlineLevel="0" collapsed="false">
      <c r="A569" s="6"/>
      <c r="B569" s="7"/>
      <c r="C569" s="6"/>
      <c r="D569" s="6"/>
      <c r="E569" s="6"/>
      <c r="F569" s="8"/>
      <c r="G569" s="9"/>
      <c r="H569" s="7"/>
      <c r="I569" s="6" t="str">
        <f aca="false">IF($A569="","",IFERROR(VLOOKUP($A569,Transcodifica!$A$5:$J$400,5,FALSE()),"NON MAPPATO"))</f>
        <v/>
      </c>
      <c r="J569" s="6" t="str">
        <f aca="false">IF($A569="","",IFERROR(VLOOKUP($A569,Transcodifica!$A$5:$J$400,7,FALSE()),""))</f>
        <v/>
      </c>
      <c r="K569" s="6" t="str">
        <f aca="false">IF($A569="","",IFERROR(VLOOKUP($A569,Transcodifica!$A$5:$J$400,8,FALSE()),""))</f>
        <v/>
      </c>
      <c r="L569" s="6" t="str">
        <f aca="false">IF($A569="","",IFERROR(VLOOKUP($A569,Transcodifica!$A$5:$J$400,9,FALSE()),""))</f>
        <v/>
      </c>
      <c r="M569" s="8" t="str">
        <f aca="false">IF($A569="","",IF($E569="APPROVATO",1,IF($E569="In svolgimento",IF($F569="",0,$F569),0)))</f>
        <v/>
      </c>
      <c r="N569" s="10" t="str">
        <f aca="false">IF(OR($A569="",$I569="NON MAPPATO",$I569=""),"",$L569*$M569)</f>
        <v/>
      </c>
    </row>
    <row r="570" customFormat="false" ht="15" hidden="false" customHeight="false" outlineLevel="0" collapsed="false">
      <c r="A570" s="6"/>
      <c r="B570" s="7"/>
      <c r="C570" s="6"/>
      <c r="D570" s="6"/>
      <c r="E570" s="6"/>
      <c r="F570" s="8"/>
      <c r="G570" s="9"/>
      <c r="H570" s="7"/>
      <c r="I570" s="6" t="str">
        <f aca="false">IF($A570="","",IFERROR(VLOOKUP($A570,Transcodifica!$A$5:$J$400,5,FALSE()),"NON MAPPATO"))</f>
        <v/>
      </c>
      <c r="J570" s="6" t="str">
        <f aca="false">IF($A570="","",IFERROR(VLOOKUP($A570,Transcodifica!$A$5:$J$400,7,FALSE()),""))</f>
        <v/>
      </c>
      <c r="K570" s="6" t="str">
        <f aca="false">IF($A570="","",IFERROR(VLOOKUP($A570,Transcodifica!$A$5:$J$400,8,FALSE()),""))</f>
        <v/>
      </c>
      <c r="L570" s="6" t="str">
        <f aca="false">IF($A570="","",IFERROR(VLOOKUP($A570,Transcodifica!$A$5:$J$400,9,FALSE()),""))</f>
        <v/>
      </c>
      <c r="M570" s="8" t="str">
        <f aca="false">IF($A570="","",IF($E570="APPROVATO",1,IF($E570="In svolgimento",IF($F570="",0,$F570),0)))</f>
        <v/>
      </c>
      <c r="N570" s="10" t="str">
        <f aca="false">IF(OR($A570="",$I570="NON MAPPATO",$I570=""),"",$L570*$M570)</f>
        <v/>
      </c>
    </row>
    <row r="571" customFormat="false" ht="15" hidden="false" customHeight="false" outlineLevel="0" collapsed="false">
      <c r="A571" s="6"/>
      <c r="B571" s="7"/>
      <c r="C571" s="6"/>
      <c r="D571" s="6"/>
      <c r="E571" s="6"/>
      <c r="F571" s="8"/>
      <c r="G571" s="9"/>
      <c r="H571" s="7"/>
      <c r="I571" s="6" t="str">
        <f aca="false">IF($A571="","",IFERROR(VLOOKUP($A571,Transcodifica!$A$5:$J$400,5,FALSE()),"NON MAPPATO"))</f>
        <v/>
      </c>
      <c r="J571" s="6" t="str">
        <f aca="false">IF($A571="","",IFERROR(VLOOKUP($A571,Transcodifica!$A$5:$J$400,7,FALSE()),""))</f>
        <v/>
      </c>
      <c r="K571" s="6" t="str">
        <f aca="false">IF($A571="","",IFERROR(VLOOKUP($A571,Transcodifica!$A$5:$J$400,8,FALSE()),""))</f>
        <v/>
      </c>
      <c r="L571" s="6" t="str">
        <f aca="false">IF($A571="","",IFERROR(VLOOKUP($A571,Transcodifica!$A$5:$J$400,9,FALSE()),""))</f>
        <v/>
      </c>
      <c r="M571" s="8" t="str">
        <f aca="false">IF($A571="","",IF($E571="APPROVATO",1,IF($E571="In svolgimento",IF($F571="",0,$F571),0)))</f>
        <v/>
      </c>
      <c r="N571" s="10" t="str">
        <f aca="false">IF(OR($A571="",$I571="NON MAPPATO",$I571=""),"",$L571*$M571)</f>
        <v/>
      </c>
    </row>
    <row r="572" customFormat="false" ht="15" hidden="false" customHeight="false" outlineLevel="0" collapsed="false">
      <c r="A572" s="6"/>
      <c r="B572" s="7"/>
      <c r="C572" s="6"/>
      <c r="D572" s="6"/>
      <c r="E572" s="6"/>
      <c r="F572" s="8"/>
      <c r="G572" s="9"/>
      <c r="H572" s="7"/>
      <c r="I572" s="6" t="str">
        <f aca="false">IF($A572="","",IFERROR(VLOOKUP($A572,Transcodifica!$A$5:$J$400,5,FALSE()),"NON MAPPATO"))</f>
        <v/>
      </c>
      <c r="J572" s="6" t="str">
        <f aca="false">IF($A572="","",IFERROR(VLOOKUP($A572,Transcodifica!$A$5:$J$400,7,FALSE()),""))</f>
        <v/>
      </c>
      <c r="K572" s="6" t="str">
        <f aca="false">IF($A572="","",IFERROR(VLOOKUP($A572,Transcodifica!$A$5:$J$400,8,FALSE()),""))</f>
        <v/>
      </c>
      <c r="L572" s="6" t="str">
        <f aca="false">IF($A572="","",IFERROR(VLOOKUP($A572,Transcodifica!$A$5:$J$400,9,FALSE()),""))</f>
        <v/>
      </c>
      <c r="M572" s="8" t="str">
        <f aca="false">IF($A572="","",IF($E572="APPROVATO",1,IF($E572="In svolgimento",IF($F572="",0,$F572),0)))</f>
        <v/>
      </c>
      <c r="N572" s="10" t="str">
        <f aca="false">IF(OR($A572="",$I572="NON MAPPATO",$I572=""),"",$L572*$M572)</f>
        <v/>
      </c>
    </row>
    <row r="573" customFormat="false" ht="15" hidden="false" customHeight="false" outlineLevel="0" collapsed="false">
      <c r="A573" s="6"/>
      <c r="B573" s="7"/>
      <c r="C573" s="6"/>
      <c r="D573" s="6"/>
      <c r="E573" s="6"/>
      <c r="F573" s="8"/>
      <c r="G573" s="9"/>
      <c r="H573" s="7"/>
      <c r="I573" s="6" t="str">
        <f aca="false">IF($A573="","",IFERROR(VLOOKUP($A573,Transcodifica!$A$5:$J$400,5,FALSE()),"NON MAPPATO"))</f>
        <v/>
      </c>
      <c r="J573" s="6" t="str">
        <f aca="false">IF($A573="","",IFERROR(VLOOKUP($A573,Transcodifica!$A$5:$J$400,7,FALSE()),""))</f>
        <v/>
      </c>
      <c r="K573" s="6" t="str">
        <f aca="false">IF($A573="","",IFERROR(VLOOKUP($A573,Transcodifica!$A$5:$J$400,8,FALSE()),""))</f>
        <v/>
      </c>
      <c r="L573" s="6" t="str">
        <f aca="false">IF($A573="","",IFERROR(VLOOKUP($A573,Transcodifica!$A$5:$J$400,9,FALSE()),""))</f>
        <v/>
      </c>
      <c r="M573" s="8" t="str">
        <f aca="false">IF($A573="","",IF($E573="APPROVATO",1,IF($E573="In svolgimento",IF($F573="",0,$F573),0)))</f>
        <v/>
      </c>
      <c r="N573" s="10" t="str">
        <f aca="false">IF(OR($A573="",$I573="NON MAPPATO",$I573=""),"",$L573*$M573)</f>
        <v/>
      </c>
    </row>
    <row r="574" customFormat="false" ht="15" hidden="false" customHeight="false" outlineLevel="0" collapsed="false">
      <c r="A574" s="6"/>
      <c r="B574" s="7"/>
      <c r="C574" s="6"/>
      <c r="D574" s="6"/>
      <c r="E574" s="6"/>
      <c r="F574" s="8"/>
      <c r="G574" s="9"/>
      <c r="H574" s="7"/>
      <c r="I574" s="6" t="str">
        <f aca="false">IF($A574="","",IFERROR(VLOOKUP($A574,Transcodifica!$A$5:$J$400,5,FALSE()),"NON MAPPATO"))</f>
        <v/>
      </c>
      <c r="J574" s="6" t="str">
        <f aca="false">IF($A574="","",IFERROR(VLOOKUP($A574,Transcodifica!$A$5:$J$400,7,FALSE()),""))</f>
        <v/>
      </c>
      <c r="K574" s="6" t="str">
        <f aca="false">IF($A574="","",IFERROR(VLOOKUP($A574,Transcodifica!$A$5:$J$400,8,FALSE()),""))</f>
        <v/>
      </c>
      <c r="L574" s="6" t="str">
        <f aca="false">IF($A574="","",IFERROR(VLOOKUP($A574,Transcodifica!$A$5:$J$400,9,FALSE()),""))</f>
        <v/>
      </c>
      <c r="M574" s="8" t="str">
        <f aca="false">IF($A574="","",IF($E574="APPROVATO",1,IF($E574="In svolgimento",IF($F574="",0,$F574),0)))</f>
        <v/>
      </c>
      <c r="N574" s="10" t="str">
        <f aca="false">IF(OR($A574="",$I574="NON MAPPATO",$I574=""),"",$L574*$M574)</f>
        <v/>
      </c>
    </row>
    <row r="575" customFormat="false" ht="15" hidden="false" customHeight="false" outlineLevel="0" collapsed="false">
      <c r="A575" s="6"/>
      <c r="B575" s="7"/>
      <c r="C575" s="6"/>
      <c r="D575" s="6"/>
      <c r="E575" s="6"/>
      <c r="F575" s="8"/>
      <c r="G575" s="9"/>
      <c r="H575" s="7"/>
      <c r="I575" s="6" t="str">
        <f aca="false">IF($A575="","",IFERROR(VLOOKUP($A575,Transcodifica!$A$5:$J$400,5,FALSE()),"NON MAPPATO"))</f>
        <v/>
      </c>
      <c r="J575" s="6" t="str">
        <f aca="false">IF($A575="","",IFERROR(VLOOKUP($A575,Transcodifica!$A$5:$J$400,7,FALSE()),""))</f>
        <v/>
      </c>
      <c r="K575" s="6" t="str">
        <f aca="false">IF($A575="","",IFERROR(VLOOKUP($A575,Transcodifica!$A$5:$J$400,8,FALSE()),""))</f>
        <v/>
      </c>
      <c r="L575" s="6" t="str">
        <f aca="false">IF($A575="","",IFERROR(VLOOKUP($A575,Transcodifica!$A$5:$J$400,9,FALSE()),""))</f>
        <v/>
      </c>
      <c r="M575" s="8" t="str">
        <f aca="false">IF($A575="","",IF($E575="APPROVATO",1,IF($E575="In svolgimento",IF($F575="",0,$F575),0)))</f>
        <v/>
      </c>
      <c r="N575" s="10" t="str">
        <f aca="false">IF(OR($A575="",$I575="NON MAPPATO",$I575=""),"",$L575*$M575)</f>
        <v/>
      </c>
    </row>
    <row r="576" customFormat="false" ht="15" hidden="false" customHeight="false" outlineLevel="0" collapsed="false">
      <c r="A576" s="6"/>
      <c r="B576" s="7"/>
      <c r="C576" s="6"/>
      <c r="D576" s="6"/>
      <c r="E576" s="6"/>
      <c r="F576" s="8"/>
      <c r="G576" s="9"/>
      <c r="H576" s="7"/>
      <c r="I576" s="6" t="str">
        <f aca="false">IF($A576="","",IFERROR(VLOOKUP($A576,Transcodifica!$A$5:$J$400,5,FALSE()),"NON MAPPATO"))</f>
        <v/>
      </c>
      <c r="J576" s="6" t="str">
        <f aca="false">IF($A576="","",IFERROR(VLOOKUP($A576,Transcodifica!$A$5:$J$400,7,FALSE()),""))</f>
        <v/>
      </c>
      <c r="K576" s="6" t="str">
        <f aca="false">IF($A576="","",IFERROR(VLOOKUP($A576,Transcodifica!$A$5:$J$400,8,FALSE()),""))</f>
        <v/>
      </c>
      <c r="L576" s="6" t="str">
        <f aca="false">IF($A576="","",IFERROR(VLOOKUP($A576,Transcodifica!$A$5:$J$400,9,FALSE()),""))</f>
        <v/>
      </c>
      <c r="M576" s="8" t="str">
        <f aca="false">IF($A576="","",IF($E576="APPROVATO",1,IF($E576="In svolgimento",IF($F576="",0,$F576),0)))</f>
        <v/>
      </c>
      <c r="N576" s="10" t="str">
        <f aca="false">IF(OR($A576="",$I576="NON MAPPATO",$I576=""),"",$L576*$M576)</f>
        <v/>
      </c>
    </row>
    <row r="577" customFormat="false" ht="15" hidden="false" customHeight="false" outlineLevel="0" collapsed="false">
      <c r="A577" s="6"/>
      <c r="B577" s="7"/>
      <c r="C577" s="6"/>
      <c r="D577" s="6"/>
      <c r="E577" s="6"/>
      <c r="F577" s="8"/>
      <c r="G577" s="9"/>
      <c r="H577" s="7"/>
      <c r="I577" s="6" t="str">
        <f aca="false">IF($A577="","",IFERROR(VLOOKUP($A577,Transcodifica!$A$5:$J$400,5,FALSE()),"NON MAPPATO"))</f>
        <v/>
      </c>
      <c r="J577" s="6" t="str">
        <f aca="false">IF($A577="","",IFERROR(VLOOKUP($A577,Transcodifica!$A$5:$J$400,7,FALSE()),""))</f>
        <v/>
      </c>
      <c r="K577" s="6" t="str">
        <f aca="false">IF($A577="","",IFERROR(VLOOKUP($A577,Transcodifica!$A$5:$J$400,8,FALSE()),""))</f>
        <v/>
      </c>
      <c r="L577" s="6" t="str">
        <f aca="false">IF($A577="","",IFERROR(VLOOKUP($A577,Transcodifica!$A$5:$J$400,9,FALSE()),""))</f>
        <v/>
      </c>
      <c r="M577" s="8" t="str">
        <f aca="false">IF($A577="","",IF($E577="APPROVATO",1,IF($E577="In svolgimento",IF($F577="",0,$F577),0)))</f>
        <v/>
      </c>
      <c r="N577" s="10" t="str">
        <f aca="false">IF(OR($A577="",$I577="NON MAPPATO",$I577=""),"",$L577*$M577)</f>
        <v/>
      </c>
    </row>
    <row r="578" customFormat="false" ht="15" hidden="false" customHeight="false" outlineLevel="0" collapsed="false">
      <c r="A578" s="6"/>
      <c r="B578" s="7"/>
      <c r="C578" s="6"/>
      <c r="D578" s="6"/>
      <c r="E578" s="6"/>
      <c r="F578" s="8"/>
      <c r="G578" s="9"/>
      <c r="H578" s="7"/>
      <c r="I578" s="6" t="str">
        <f aca="false">IF($A578="","",IFERROR(VLOOKUP($A578,Transcodifica!$A$5:$J$400,5,FALSE()),"NON MAPPATO"))</f>
        <v/>
      </c>
      <c r="J578" s="6" t="str">
        <f aca="false">IF($A578="","",IFERROR(VLOOKUP($A578,Transcodifica!$A$5:$J$400,7,FALSE()),""))</f>
        <v/>
      </c>
      <c r="K578" s="6" t="str">
        <f aca="false">IF($A578="","",IFERROR(VLOOKUP($A578,Transcodifica!$A$5:$J$400,8,FALSE()),""))</f>
        <v/>
      </c>
      <c r="L578" s="6" t="str">
        <f aca="false">IF($A578="","",IFERROR(VLOOKUP($A578,Transcodifica!$A$5:$J$400,9,FALSE()),""))</f>
        <v/>
      </c>
      <c r="M578" s="8" t="str">
        <f aca="false">IF($A578="","",IF($E578="APPROVATO",1,IF($E578="In svolgimento",IF($F578="",0,$F578),0)))</f>
        <v/>
      </c>
      <c r="N578" s="10" t="str">
        <f aca="false">IF(OR($A578="",$I578="NON MAPPATO",$I578=""),"",$L578*$M578)</f>
        <v/>
      </c>
    </row>
    <row r="579" customFormat="false" ht="15" hidden="false" customHeight="false" outlineLevel="0" collapsed="false">
      <c r="A579" s="6"/>
      <c r="B579" s="7"/>
      <c r="C579" s="6"/>
      <c r="D579" s="6"/>
      <c r="E579" s="6"/>
      <c r="F579" s="8"/>
      <c r="G579" s="9"/>
      <c r="H579" s="7"/>
      <c r="I579" s="6" t="str">
        <f aca="false">IF($A579="","",IFERROR(VLOOKUP($A579,Transcodifica!$A$5:$J$400,5,FALSE()),"NON MAPPATO"))</f>
        <v/>
      </c>
      <c r="J579" s="6" t="str">
        <f aca="false">IF($A579="","",IFERROR(VLOOKUP($A579,Transcodifica!$A$5:$J$400,7,FALSE()),""))</f>
        <v/>
      </c>
      <c r="K579" s="6" t="str">
        <f aca="false">IF($A579="","",IFERROR(VLOOKUP($A579,Transcodifica!$A$5:$J$400,8,FALSE()),""))</f>
        <v/>
      </c>
      <c r="L579" s="6" t="str">
        <f aca="false">IF($A579="","",IFERROR(VLOOKUP($A579,Transcodifica!$A$5:$J$400,9,FALSE()),""))</f>
        <v/>
      </c>
      <c r="M579" s="8" t="str">
        <f aca="false">IF($A579="","",IF($E579="APPROVATO",1,IF($E579="In svolgimento",IF($F579="",0,$F579),0)))</f>
        <v/>
      </c>
      <c r="N579" s="10" t="str">
        <f aca="false">IF(OR($A579="",$I579="NON MAPPATO",$I579=""),"",$L579*$M579)</f>
        <v/>
      </c>
    </row>
    <row r="580" customFormat="false" ht="15" hidden="false" customHeight="false" outlineLevel="0" collapsed="false">
      <c r="A580" s="6"/>
      <c r="B580" s="7"/>
      <c r="C580" s="6"/>
      <c r="D580" s="6"/>
      <c r="E580" s="6"/>
      <c r="F580" s="8"/>
      <c r="G580" s="9"/>
      <c r="H580" s="7"/>
      <c r="I580" s="6" t="str">
        <f aca="false">IF($A580="","",IFERROR(VLOOKUP($A580,Transcodifica!$A$5:$J$400,5,FALSE()),"NON MAPPATO"))</f>
        <v/>
      </c>
      <c r="J580" s="6" t="str">
        <f aca="false">IF($A580="","",IFERROR(VLOOKUP($A580,Transcodifica!$A$5:$J$400,7,FALSE()),""))</f>
        <v/>
      </c>
      <c r="K580" s="6" t="str">
        <f aca="false">IF($A580="","",IFERROR(VLOOKUP($A580,Transcodifica!$A$5:$J$400,8,FALSE()),""))</f>
        <v/>
      </c>
      <c r="L580" s="6" t="str">
        <f aca="false">IF($A580="","",IFERROR(VLOOKUP($A580,Transcodifica!$A$5:$J$400,9,FALSE()),""))</f>
        <v/>
      </c>
      <c r="M580" s="8" t="str">
        <f aca="false">IF($A580="","",IF($E580="APPROVATO",1,IF($E580="In svolgimento",IF($F580="",0,$F580),0)))</f>
        <v/>
      </c>
      <c r="N580" s="10" t="str">
        <f aca="false">IF(OR($A580="",$I580="NON MAPPATO",$I580=""),"",$L580*$M580)</f>
        <v/>
      </c>
    </row>
    <row r="581" customFormat="false" ht="15" hidden="false" customHeight="false" outlineLevel="0" collapsed="false">
      <c r="A581" s="6"/>
      <c r="B581" s="7"/>
      <c r="C581" s="6"/>
      <c r="D581" s="6"/>
      <c r="E581" s="6"/>
      <c r="F581" s="8"/>
      <c r="G581" s="9"/>
      <c r="H581" s="7"/>
      <c r="I581" s="6" t="str">
        <f aca="false">IF($A581="","",IFERROR(VLOOKUP($A581,Transcodifica!$A$5:$J$400,5,FALSE()),"NON MAPPATO"))</f>
        <v/>
      </c>
      <c r="J581" s="6" t="str">
        <f aca="false">IF($A581="","",IFERROR(VLOOKUP($A581,Transcodifica!$A$5:$J$400,7,FALSE()),""))</f>
        <v/>
      </c>
      <c r="K581" s="6" t="str">
        <f aca="false">IF($A581="","",IFERROR(VLOOKUP($A581,Transcodifica!$A$5:$J$400,8,FALSE()),""))</f>
        <v/>
      </c>
      <c r="L581" s="6" t="str">
        <f aca="false">IF($A581="","",IFERROR(VLOOKUP($A581,Transcodifica!$A$5:$J$400,9,FALSE()),""))</f>
        <v/>
      </c>
      <c r="M581" s="8" t="str">
        <f aca="false">IF($A581="","",IF($E581="APPROVATO",1,IF($E581="In svolgimento",IF($F581="",0,$F581),0)))</f>
        <v/>
      </c>
      <c r="N581" s="10" t="str">
        <f aca="false">IF(OR($A581="",$I581="NON MAPPATO",$I581=""),"",$L581*$M581)</f>
        <v/>
      </c>
    </row>
    <row r="582" customFormat="false" ht="15" hidden="false" customHeight="false" outlineLevel="0" collapsed="false">
      <c r="A582" s="6"/>
      <c r="B582" s="7"/>
      <c r="C582" s="6"/>
      <c r="D582" s="6"/>
      <c r="E582" s="6"/>
      <c r="F582" s="8"/>
      <c r="G582" s="9"/>
      <c r="H582" s="7"/>
      <c r="I582" s="6" t="str">
        <f aca="false">IF($A582="","",IFERROR(VLOOKUP($A582,Transcodifica!$A$5:$J$400,5,FALSE()),"NON MAPPATO"))</f>
        <v/>
      </c>
      <c r="J582" s="6" t="str">
        <f aca="false">IF($A582="","",IFERROR(VLOOKUP($A582,Transcodifica!$A$5:$J$400,7,FALSE()),""))</f>
        <v/>
      </c>
      <c r="K582" s="6" t="str">
        <f aca="false">IF($A582="","",IFERROR(VLOOKUP($A582,Transcodifica!$A$5:$J$400,8,FALSE()),""))</f>
        <v/>
      </c>
      <c r="L582" s="6" t="str">
        <f aca="false">IF($A582="","",IFERROR(VLOOKUP($A582,Transcodifica!$A$5:$J$400,9,FALSE()),""))</f>
        <v/>
      </c>
      <c r="M582" s="8" t="str">
        <f aca="false">IF($A582="","",IF($E582="APPROVATO",1,IF($E582="In svolgimento",IF($F582="",0,$F582),0)))</f>
        <v/>
      </c>
      <c r="N582" s="10" t="str">
        <f aca="false">IF(OR($A582="",$I582="NON MAPPATO",$I582=""),"",$L582*$M582)</f>
        <v/>
      </c>
    </row>
    <row r="583" customFormat="false" ht="15" hidden="false" customHeight="false" outlineLevel="0" collapsed="false">
      <c r="A583" s="6"/>
      <c r="B583" s="7"/>
      <c r="C583" s="6"/>
      <c r="D583" s="6"/>
      <c r="E583" s="6"/>
      <c r="F583" s="8"/>
      <c r="G583" s="9"/>
      <c r="H583" s="7"/>
      <c r="I583" s="6" t="str">
        <f aca="false">IF($A583="","",IFERROR(VLOOKUP($A583,Transcodifica!$A$5:$J$400,5,FALSE()),"NON MAPPATO"))</f>
        <v/>
      </c>
      <c r="J583" s="6" t="str">
        <f aca="false">IF($A583="","",IFERROR(VLOOKUP($A583,Transcodifica!$A$5:$J$400,7,FALSE()),""))</f>
        <v/>
      </c>
      <c r="K583" s="6" t="str">
        <f aca="false">IF($A583="","",IFERROR(VLOOKUP($A583,Transcodifica!$A$5:$J$400,8,FALSE()),""))</f>
        <v/>
      </c>
      <c r="L583" s="6" t="str">
        <f aca="false">IF($A583="","",IFERROR(VLOOKUP($A583,Transcodifica!$A$5:$J$400,9,FALSE()),""))</f>
        <v/>
      </c>
      <c r="M583" s="8" t="str">
        <f aca="false">IF($A583="","",IF($E583="APPROVATO",1,IF($E583="In svolgimento",IF($F583="",0,$F583),0)))</f>
        <v/>
      </c>
      <c r="N583" s="10" t="str">
        <f aca="false">IF(OR($A583="",$I583="NON MAPPATO",$I583=""),"",$L583*$M583)</f>
        <v/>
      </c>
    </row>
    <row r="584" customFormat="false" ht="15" hidden="false" customHeight="false" outlineLevel="0" collapsed="false">
      <c r="A584" s="6"/>
      <c r="B584" s="7"/>
      <c r="C584" s="6"/>
      <c r="D584" s="6"/>
      <c r="E584" s="6"/>
      <c r="F584" s="8"/>
      <c r="G584" s="9"/>
      <c r="H584" s="7"/>
      <c r="I584" s="6" t="str">
        <f aca="false">IF($A584="","",IFERROR(VLOOKUP($A584,Transcodifica!$A$5:$J$400,5,FALSE()),"NON MAPPATO"))</f>
        <v/>
      </c>
      <c r="J584" s="6" t="str">
        <f aca="false">IF($A584="","",IFERROR(VLOOKUP($A584,Transcodifica!$A$5:$J$400,7,FALSE()),""))</f>
        <v/>
      </c>
      <c r="K584" s="6" t="str">
        <f aca="false">IF($A584="","",IFERROR(VLOOKUP($A584,Transcodifica!$A$5:$J$400,8,FALSE()),""))</f>
        <v/>
      </c>
      <c r="L584" s="6" t="str">
        <f aca="false">IF($A584="","",IFERROR(VLOOKUP($A584,Transcodifica!$A$5:$J$400,9,FALSE()),""))</f>
        <v/>
      </c>
      <c r="M584" s="8" t="str">
        <f aca="false">IF($A584="","",IF($E584="APPROVATO",1,IF($E584="In svolgimento",IF($F584="",0,$F584),0)))</f>
        <v/>
      </c>
      <c r="N584" s="10" t="str">
        <f aca="false">IF(OR($A584="",$I584="NON MAPPATO",$I584=""),"",$L584*$M584)</f>
        <v/>
      </c>
    </row>
    <row r="585" customFormat="false" ht="15" hidden="false" customHeight="false" outlineLevel="0" collapsed="false">
      <c r="A585" s="6"/>
      <c r="B585" s="7"/>
      <c r="C585" s="6"/>
      <c r="D585" s="6"/>
      <c r="E585" s="6"/>
      <c r="F585" s="8"/>
      <c r="G585" s="9"/>
      <c r="H585" s="7"/>
      <c r="I585" s="6" t="str">
        <f aca="false">IF($A585="","",IFERROR(VLOOKUP($A585,Transcodifica!$A$5:$J$400,5,FALSE()),"NON MAPPATO"))</f>
        <v/>
      </c>
      <c r="J585" s="6" t="str">
        <f aca="false">IF($A585="","",IFERROR(VLOOKUP($A585,Transcodifica!$A$5:$J$400,7,FALSE()),""))</f>
        <v/>
      </c>
      <c r="K585" s="6" t="str">
        <f aca="false">IF($A585="","",IFERROR(VLOOKUP($A585,Transcodifica!$A$5:$J$400,8,FALSE()),""))</f>
        <v/>
      </c>
      <c r="L585" s="6" t="str">
        <f aca="false">IF($A585="","",IFERROR(VLOOKUP($A585,Transcodifica!$A$5:$J$400,9,FALSE()),""))</f>
        <v/>
      </c>
      <c r="M585" s="8" t="str">
        <f aca="false">IF($A585="","",IF($E585="APPROVATO",1,IF($E585="In svolgimento",IF($F585="",0,$F585),0)))</f>
        <v/>
      </c>
      <c r="N585" s="10" t="str">
        <f aca="false">IF(OR($A585="",$I585="NON MAPPATO",$I585=""),"",$L585*$M585)</f>
        <v/>
      </c>
    </row>
    <row r="586" customFormat="false" ht="15" hidden="false" customHeight="false" outlineLevel="0" collapsed="false">
      <c r="A586" s="6"/>
      <c r="B586" s="7"/>
      <c r="C586" s="6"/>
      <c r="D586" s="6"/>
      <c r="E586" s="6"/>
      <c r="F586" s="8"/>
      <c r="G586" s="9"/>
      <c r="H586" s="7"/>
      <c r="I586" s="6" t="str">
        <f aca="false">IF($A586="","",IFERROR(VLOOKUP($A586,Transcodifica!$A$5:$J$400,5,FALSE()),"NON MAPPATO"))</f>
        <v/>
      </c>
      <c r="J586" s="6" t="str">
        <f aca="false">IF($A586="","",IFERROR(VLOOKUP($A586,Transcodifica!$A$5:$J$400,7,FALSE()),""))</f>
        <v/>
      </c>
      <c r="K586" s="6" t="str">
        <f aca="false">IF($A586="","",IFERROR(VLOOKUP($A586,Transcodifica!$A$5:$J$400,8,FALSE()),""))</f>
        <v/>
      </c>
      <c r="L586" s="6" t="str">
        <f aca="false">IF($A586="","",IFERROR(VLOOKUP($A586,Transcodifica!$A$5:$J$400,9,FALSE()),""))</f>
        <v/>
      </c>
      <c r="M586" s="8" t="str">
        <f aca="false">IF($A586="","",IF($E586="APPROVATO",1,IF($E586="In svolgimento",IF($F586="",0,$F586),0)))</f>
        <v/>
      </c>
      <c r="N586" s="10" t="str">
        <f aca="false">IF(OR($A586="",$I586="NON MAPPATO",$I586=""),"",$L586*$M586)</f>
        <v/>
      </c>
    </row>
    <row r="587" customFormat="false" ht="15" hidden="false" customHeight="false" outlineLevel="0" collapsed="false">
      <c r="A587" s="6"/>
      <c r="B587" s="7"/>
      <c r="C587" s="6"/>
      <c r="D587" s="6"/>
      <c r="E587" s="6"/>
      <c r="F587" s="8"/>
      <c r="G587" s="9"/>
      <c r="H587" s="7"/>
      <c r="I587" s="6" t="str">
        <f aca="false">IF($A587="","",IFERROR(VLOOKUP($A587,Transcodifica!$A$5:$J$400,5,FALSE()),"NON MAPPATO"))</f>
        <v/>
      </c>
      <c r="J587" s="6" t="str">
        <f aca="false">IF($A587="","",IFERROR(VLOOKUP($A587,Transcodifica!$A$5:$J$400,7,FALSE()),""))</f>
        <v/>
      </c>
      <c r="K587" s="6" t="str">
        <f aca="false">IF($A587="","",IFERROR(VLOOKUP($A587,Transcodifica!$A$5:$J$400,8,FALSE()),""))</f>
        <v/>
      </c>
      <c r="L587" s="6" t="str">
        <f aca="false">IF($A587="","",IFERROR(VLOOKUP($A587,Transcodifica!$A$5:$J$400,9,FALSE()),""))</f>
        <v/>
      </c>
      <c r="M587" s="8" t="str">
        <f aca="false">IF($A587="","",IF($E587="APPROVATO",1,IF($E587="In svolgimento",IF($F587="",0,$F587),0)))</f>
        <v/>
      </c>
      <c r="N587" s="10" t="str">
        <f aca="false">IF(OR($A587="",$I587="NON MAPPATO",$I587=""),"",$L587*$M587)</f>
        <v/>
      </c>
    </row>
    <row r="588" customFormat="false" ht="15" hidden="false" customHeight="false" outlineLevel="0" collapsed="false">
      <c r="A588" s="6"/>
      <c r="B588" s="7"/>
      <c r="C588" s="6"/>
      <c r="D588" s="6"/>
      <c r="E588" s="6"/>
      <c r="F588" s="8"/>
      <c r="G588" s="9"/>
      <c r="H588" s="7"/>
      <c r="I588" s="6" t="str">
        <f aca="false">IF($A588="","",IFERROR(VLOOKUP($A588,Transcodifica!$A$5:$J$400,5,FALSE()),"NON MAPPATO"))</f>
        <v/>
      </c>
      <c r="J588" s="6" t="str">
        <f aca="false">IF($A588="","",IFERROR(VLOOKUP($A588,Transcodifica!$A$5:$J$400,7,FALSE()),""))</f>
        <v/>
      </c>
      <c r="K588" s="6" t="str">
        <f aca="false">IF($A588="","",IFERROR(VLOOKUP($A588,Transcodifica!$A$5:$J$400,8,FALSE()),""))</f>
        <v/>
      </c>
      <c r="L588" s="6" t="str">
        <f aca="false">IF($A588="","",IFERROR(VLOOKUP($A588,Transcodifica!$A$5:$J$400,9,FALSE()),""))</f>
        <v/>
      </c>
      <c r="M588" s="8" t="str">
        <f aca="false">IF($A588="","",IF($E588="APPROVATO",1,IF($E588="In svolgimento",IF($F588="",0,$F588),0)))</f>
        <v/>
      </c>
      <c r="N588" s="10" t="str">
        <f aca="false">IF(OR($A588="",$I588="NON MAPPATO",$I588=""),"",$L588*$M588)</f>
        <v/>
      </c>
    </row>
    <row r="589" customFormat="false" ht="15" hidden="false" customHeight="false" outlineLevel="0" collapsed="false">
      <c r="A589" s="6"/>
      <c r="B589" s="7"/>
      <c r="C589" s="6"/>
      <c r="D589" s="6"/>
      <c r="E589" s="6"/>
      <c r="F589" s="8"/>
      <c r="G589" s="9"/>
      <c r="H589" s="7"/>
      <c r="I589" s="6" t="str">
        <f aca="false">IF($A589="","",IFERROR(VLOOKUP($A589,Transcodifica!$A$5:$J$400,5,FALSE()),"NON MAPPATO"))</f>
        <v/>
      </c>
      <c r="J589" s="6" t="str">
        <f aca="false">IF($A589="","",IFERROR(VLOOKUP($A589,Transcodifica!$A$5:$J$400,7,FALSE()),""))</f>
        <v/>
      </c>
      <c r="K589" s="6" t="str">
        <f aca="false">IF($A589="","",IFERROR(VLOOKUP($A589,Transcodifica!$A$5:$J$400,8,FALSE()),""))</f>
        <v/>
      </c>
      <c r="L589" s="6" t="str">
        <f aca="false">IF($A589="","",IFERROR(VLOOKUP($A589,Transcodifica!$A$5:$J$400,9,FALSE()),""))</f>
        <v/>
      </c>
      <c r="M589" s="8" t="str">
        <f aca="false">IF($A589="","",IF($E589="APPROVATO",1,IF($E589="In svolgimento",IF($F589="",0,$F589),0)))</f>
        <v/>
      </c>
      <c r="N589" s="10" t="str">
        <f aca="false">IF(OR($A589="",$I589="NON MAPPATO",$I589=""),"",$L589*$M589)</f>
        <v/>
      </c>
    </row>
    <row r="590" customFormat="false" ht="15" hidden="false" customHeight="false" outlineLevel="0" collapsed="false">
      <c r="A590" s="6"/>
      <c r="B590" s="7"/>
      <c r="C590" s="6"/>
      <c r="D590" s="6"/>
      <c r="E590" s="6"/>
      <c r="F590" s="8"/>
      <c r="G590" s="9"/>
      <c r="H590" s="7"/>
      <c r="I590" s="6" t="str">
        <f aca="false">IF($A590="","",IFERROR(VLOOKUP($A590,Transcodifica!$A$5:$J$400,5,FALSE()),"NON MAPPATO"))</f>
        <v/>
      </c>
      <c r="J590" s="6" t="str">
        <f aca="false">IF($A590="","",IFERROR(VLOOKUP($A590,Transcodifica!$A$5:$J$400,7,FALSE()),""))</f>
        <v/>
      </c>
      <c r="K590" s="6" t="str">
        <f aca="false">IF($A590="","",IFERROR(VLOOKUP($A590,Transcodifica!$A$5:$J$400,8,FALSE()),""))</f>
        <v/>
      </c>
      <c r="L590" s="6" t="str">
        <f aca="false">IF($A590="","",IFERROR(VLOOKUP($A590,Transcodifica!$A$5:$J$400,9,FALSE()),""))</f>
        <v/>
      </c>
      <c r="M590" s="8" t="str">
        <f aca="false">IF($A590="","",IF($E590="APPROVATO",1,IF($E590="In svolgimento",IF($F590="",0,$F590),0)))</f>
        <v/>
      </c>
      <c r="N590" s="10" t="str">
        <f aca="false">IF(OR($A590="",$I590="NON MAPPATO",$I590=""),"",$L590*$M590)</f>
        <v/>
      </c>
    </row>
    <row r="591" customFormat="false" ht="15" hidden="false" customHeight="false" outlineLevel="0" collapsed="false">
      <c r="A591" s="6"/>
      <c r="B591" s="7"/>
      <c r="C591" s="6"/>
      <c r="D591" s="6"/>
      <c r="E591" s="6"/>
      <c r="F591" s="8"/>
      <c r="G591" s="9"/>
      <c r="H591" s="7"/>
      <c r="I591" s="6" t="str">
        <f aca="false">IF($A591="","",IFERROR(VLOOKUP($A591,Transcodifica!$A$5:$J$400,5,FALSE()),"NON MAPPATO"))</f>
        <v/>
      </c>
      <c r="J591" s="6" t="str">
        <f aca="false">IF($A591="","",IFERROR(VLOOKUP($A591,Transcodifica!$A$5:$J$400,7,FALSE()),""))</f>
        <v/>
      </c>
      <c r="K591" s="6" t="str">
        <f aca="false">IF($A591="","",IFERROR(VLOOKUP($A591,Transcodifica!$A$5:$J$400,8,FALSE()),""))</f>
        <v/>
      </c>
      <c r="L591" s="6" t="str">
        <f aca="false">IF($A591="","",IFERROR(VLOOKUP($A591,Transcodifica!$A$5:$J$400,9,FALSE()),""))</f>
        <v/>
      </c>
      <c r="M591" s="8" t="str">
        <f aca="false">IF($A591="","",IF($E591="APPROVATO",1,IF($E591="In svolgimento",IF($F591="",0,$F591),0)))</f>
        <v/>
      </c>
      <c r="N591" s="10" t="str">
        <f aca="false">IF(OR($A591="",$I591="NON MAPPATO",$I591=""),"",$L591*$M591)</f>
        <v/>
      </c>
    </row>
    <row r="592" customFormat="false" ht="15" hidden="false" customHeight="false" outlineLevel="0" collapsed="false">
      <c r="A592" s="6"/>
      <c r="B592" s="7"/>
      <c r="C592" s="6"/>
      <c r="D592" s="6"/>
      <c r="E592" s="6"/>
      <c r="F592" s="8"/>
      <c r="G592" s="9"/>
      <c r="H592" s="7"/>
      <c r="I592" s="6" t="str">
        <f aca="false">IF($A592="","",IFERROR(VLOOKUP($A592,Transcodifica!$A$5:$J$400,5,FALSE()),"NON MAPPATO"))</f>
        <v/>
      </c>
      <c r="J592" s="6" t="str">
        <f aca="false">IF($A592="","",IFERROR(VLOOKUP($A592,Transcodifica!$A$5:$J$400,7,FALSE()),""))</f>
        <v/>
      </c>
      <c r="K592" s="6" t="str">
        <f aca="false">IF($A592="","",IFERROR(VLOOKUP($A592,Transcodifica!$A$5:$J$400,8,FALSE()),""))</f>
        <v/>
      </c>
      <c r="L592" s="6" t="str">
        <f aca="false">IF($A592="","",IFERROR(VLOOKUP($A592,Transcodifica!$A$5:$J$400,9,FALSE()),""))</f>
        <v/>
      </c>
      <c r="M592" s="8" t="str">
        <f aca="false">IF($A592="","",IF($E592="APPROVATO",1,IF($E592="In svolgimento",IF($F592="",0,$F592),0)))</f>
        <v/>
      </c>
      <c r="N592" s="10" t="str">
        <f aca="false">IF(OR($A592="",$I592="NON MAPPATO",$I592=""),"",$L592*$M592)</f>
        <v/>
      </c>
    </row>
    <row r="593" customFormat="false" ht="15" hidden="false" customHeight="false" outlineLevel="0" collapsed="false">
      <c r="A593" s="6"/>
      <c r="B593" s="7"/>
      <c r="C593" s="6"/>
      <c r="D593" s="6"/>
      <c r="E593" s="6"/>
      <c r="F593" s="8"/>
      <c r="G593" s="9"/>
      <c r="H593" s="7"/>
      <c r="I593" s="6" t="str">
        <f aca="false">IF($A593="","",IFERROR(VLOOKUP($A593,Transcodifica!$A$5:$J$400,5,FALSE()),"NON MAPPATO"))</f>
        <v/>
      </c>
      <c r="J593" s="6" t="str">
        <f aca="false">IF($A593="","",IFERROR(VLOOKUP($A593,Transcodifica!$A$5:$J$400,7,FALSE()),""))</f>
        <v/>
      </c>
      <c r="K593" s="6" t="str">
        <f aca="false">IF($A593="","",IFERROR(VLOOKUP($A593,Transcodifica!$A$5:$J$400,8,FALSE()),""))</f>
        <v/>
      </c>
      <c r="L593" s="6" t="str">
        <f aca="false">IF($A593="","",IFERROR(VLOOKUP($A593,Transcodifica!$A$5:$J$400,9,FALSE()),""))</f>
        <v/>
      </c>
      <c r="M593" s="8" t="str">
        <f aca="false">IF($A593="","",IF($E593="APPROVATO",1,IF($E593="In svolgimento",IF($F593="",0,$F593),0)))</f>
        <v/>
      </c>
      <c r="N593" s="10" t="str">
        <f aca="false">IF(OR($A593="",$I593="NON MAPPATO",$I593=""),"",$L593*$M593)</f>
        <v/>
      </c>
    </row>
    <row r="594" customFormat="false" ht="15" hidden="false" customHeight="false" outlineLevel="0" collapsed="false">
      <c r="A594" s="6"/>
      <c r="B594" s="7"/>
      <c r="C594" s="6"/>
      <c r="D594" s="6"/>
      <c r="E594" s="6"/>
      <c r="F594" s="8"/>
      <c r="G594" s="9"/>
      <c r="H594" s="7"/>
      <c r="I594" s="6" t="str">
        <f aca="false">IF($A594="","",IFERROR(VLOOKUP($A594,Transcodifica!$A$5:$J$400,5,FALSE()),"NON MAPPATO"))</f>
        <v/>
      </c>
      <c r="J594" s="6" t="str">
        <f aca="false">IF($A594="","",IFERROR(VLOOKUP($A594,Transcodifica!$A$5:$J$400,7,FALSE()),""))</f>
        <v/>
      </c>
      <c r="K594" s="6" t="str">
        <f aca="false">IF($A594="","",IFERROR(VLOOKUP($A594,Transcodifica!$A$5:$J$400,8,FALSE()),""))</f>
        <v/>
      </c>
      <c r="L594" s="6" t="str">
        <f aca="false">IF($A594="","",IFERROR(VLOOKUP($A594,Transcodifica!$A$5:$J$400,9,FALSE()),""))</f>
        <v/>
      </c>
      <c r="M594" s="8" t="str">
        <f aca="false">IF($A594="","",IF($E594="APPROVATO",1,IF($E594="In svolgimento",IF($F594="",0,$F594),0)))</f>
        <v/>
      </c>
      <c r="N594" s="10" t="str">
        <f aca="false">IF(OR($A594="",$I594="NON MAPPATO",$I594=""),"",$L594*$M594)</f>
        <v/>
      </c>
    </row>
    <row r="595" customFormat="false" ht="15" hidden="false" customHeight="false" outlineLevel="0" collapsed="false">
      <c r="A595" s="6"/>
      <c r="B595" s="7"/>
      <c r="C595" s="6"/>
      <c r="D595" s="6"/>
      <c r="E595" s="6"/>
      <c r="F595" s="8"/>
      <c r="G595" s="9"/>
      <c r="H595" s="7"/>
      <c r="I595" s="6" t="str">
        <f aca="false">IF($A595="","",IFERROR(VLOOKUP($A595,Transcodifica!$A$5:$J$400,5,FALSE()),"NON MAPPATO"))</f>
        <v/>
      </c>
      <c r="J595" s="6" t="str">
        <f aca="false">IF($A595="","",IFERROR(VLOOKUP($A595,Transcodifica!$A$5:$J$400,7,FALSE()),""))</f>
        <v/>
      </c>
      <c r="K595" s="6" t="str">
        <f aca="false">IF($A595="","",IFERROR(VLOOKUP($A595,Transcodifica!$A$5:$J$400,8,FALSE()),""))</f>
        <v/>
      </c>
      <c r="L595" s="6" t="str">
        <f aca="false">IF($A595="","",IFERROR(VLOOKUP($A595,Transcodifica!$A$5:$J$400,9,FALSE()),""))</f>
        <v/>
      </c>
      <c r="M595" s="8" t="str">
        <f aca="false">IF($A595="","",IF($E595="APPROVATO",1,IF($E595="In svolgimento",IF($F595="",0,$F595),0)))</f>
        <v/>
      </c>
      <c r="N595" s="10" t="str">
        <f aca="false">IF(OR($A595="",$I595="NON MAPPATO",$I595=""),"",$L595*$M595)</f>
        <v/>
      </c>
    </row>
    <row r="596" customFormat="false" ht="15" hidden="false" customHeight="false" outlineLevel="0" collapsed="false">
      <c r="A596" s="6"/>
      <c r="B596" s="7"/>
      <c r="C596" s="6"/>
      <c r="D596" s="6"/>
      <c r="E596" s="6"/>
      <c r="F596" s="8"/>
      <c r="G596" s="9"/>
      <c r="H596" s="7"/>
      <c r="I596" s="6" t="str">
        <f aca="false">IF($A596="","",IFERROR(VLOOKUP($A596,Transcodifica!$A$5:$J$400,5,FALSE()),"NON MAPPATO"))</f>
        <v/>
      </c>
      <c r="J596" s="6" t="str">
        <f aca="false">IF($A596="","",IFERROR(VLOOKUP($A596,Transcodifica!$A$5:$J$400,7,FALSE()),""))</f>
        <v/>
      </c>
      <c r="K596" s="6" t="str">
        <f aca="false">IF($A596="","",IFERROR(VLOOKUP($A596,Transcodifica!$A$5:$J$400,8,FALSE()),""))</f>
        <v/>
      </c>
      <c r="L596" s="6" t="str">
        <f aca="false">IF($A596="","",IFERROR(VLOOKUP($A596,Transcodifica!$A$5:$J$400,9,FALSE()),""))</f>
        <v/>
      </c>
      <c r="M596" s="8" t="str">
        <f aca="false">IF($A596="","",IF($E596="APPROVATO",1,IF($E596="In svolgimento",IF($F596="",0,$F596),0)))</f>
        <v/>
      </c>
      <c r="N596" s="10" t="str">
        <f aca="false">IF(OR($A596="",$I596="NON MAPPATO",$I596=""),"",$L596*$M596)</f>
        <v/>
      </c>
    </row>
    <row r="597" customFormat="false" ht="15" hidden="false" customHeight="false" outlineLevel="0" collapsed="false">
      <c r="A597" s="6"/>
      <c r="B597" s="7"/>
      <c r="C597" s="6"/>
      <c r="D597" s="6"/>
      <c r="E597" s="6"/>
      <c r="F597" s="8"/>
      <c r="G597" s="9"/>
      <c r="H597" s="7"/>
      <c r="I597" s="6" t="str">
        <f aca="false">IF($A597="","",IFERROR(VLOOKUP($A597,Transcodifica!$A$5:$J$400,5,FALSE()),"NON MAPPATO"))</f>
        <v/>
      </c>
      <c r="J597" s="6" t="str">
        <f aca="false">IF($A597="","",IFERROR(VLOOKUP($A597,Transcodifica!$A$5:$J$400,7,FALSE()),""))</f>
        <v/>
      </c>
      <c r="K597" s="6" t="str">
        <f aca="false">IF($A597="","",IFERROR(VLOOKUP($A597,Transcodifica!$A$5:$J$400,8,FALSE()),""))</f>
        <v/>
      </c>
      <c r="L597" s="6" t="str">
        <f aca="false">IF($A597="","",IFERROR(VLOOKUP($A597,Transcodifica!$A$5:$J$400,9,FALSE()),""))</f>
        <v/>
      </c>
      <c r="M597" s="8" t="str">
        <f aca="false">IF($A597="","",IF($E597="APPROVATO",1,IF($E597="In svolgimento",IF($F597="",0,$F597),0)))</f>
        <v/>
      </c>
      <c r="N597" s="10" t="str">
        <f aca="false">IF(OR($A597="",$I597="NON MAPPATO",$I597=""),"",$L597*$M597)</f>
        <v/>
      </c>
    </row>
    <row r="598" customFormat="false" ht="15" hidden="false" customHeight="false" outlineLevel="0" collapsed="false">
      <c r="A598" s="6"/>
      <c r="B598" s="7"/>
      <c r="C598" s="6"/>
      <c r="D598" s="6"/>
      <c r="E598" s="6"/>
      <c r="F598" s="8"/>
      <c r="G598" s="9"/>
      <c r="H598" s="7"/>
      <c r="I598" s="6" t="str">
        <f aca="false">IF($A598="","",IFERROR(VLOOKUP($A598,Transcodifica!$A$5:$J$400,5,FALSE()),"NON MAPPATO"))</f>
        <v/>
      </c>
      <c r="J598" s="6" t="str">
        <f aca="false">IF($A598="","",IFERROR(VLOOKUP($A598,Transcodifica!$A$5:$J$400,7,FALSE()),""))</f>
        <v/>
      </c>
      <c r="K598" s="6" t="str">
        <f aca="false">IF($A598="","",IFERROR(VLOOKUP($A598,Transcodifica!$A$5:$J$400,8,FALSE()),""))</f>
        <v/>
      </c>
      <c r="L598" s="6" t="str">
        <f aca="false">IF($A598="","",IFERROR(VLOOKUP($A598,Transcodifica!$A$5:$J$400,9,FALSE()),""))</f>
        <v/>
      </c>
      <c r="M598" s="8" t="str">
        <f aca="false">IF($A598="","",IF($E598="APPROVATO",1,IF($E598="In svolgimento",IF($F598="",0,$F598),0)))</f>
        <v/>
      </c>
      <c r="N598" s="10" t="str">
        <f aca="false">IF(OR($A598="",$I598="NON MAPPATO",$I598=""),"",$L598*$M598)</f>
        <v/>
      </c>
    </row>
    <row r="599" customFormat="false" ht="15" hidden="false" customHeight="false" outlineLevel="0" collapsed="false">
      <c r="A599" s="6"/>
      <c r="B599" s="7"/>
      <c r="C599" s="6"/>
      <c r="D599" s="6"/>
      <c r="E599" s="6"/>
      <c r="F599" s="8"/>
      <c r="G599" s="9"/>
      <c r="H599" s="7"/>
      <c r="I599" s="6" t="str">
        <f aca="false">IF($A599="","",IFERROR(VLOOKUP($A599,Transcodifica!$A$5:$J$400,5,FALSE()),"NON MAPPATO"))</f>
        <v/>
      </c>
      <c r="J599" s="6" t="str">
        <f aca="false">IF($A599="","",IFERROR(VLOOKUP($A599,Transcodifica!$A$5:$J$400,7,FALSE()),""))</f>
        <v/>
      </c>
      <c r="K599" s="6" t="str">
        <f aca="false">IF($A599="","",IFERROR(VLOOKUP($A599,Transcodifica!$A$5:$J$400,8,FALSE()),""))</f>
        <v/>
      </c>
      <c r="L599" s="6" t="str">
        <f aca="false">IF($A599="","",IFERROR(VLOOKUP($A599,Transcodifica!$A$5:$J$400,9,FALSE()),""))</f>
        <v/>
      </c>
      <c r="M599" s="8" t="str">
        <f aca="false">IF($A599="","",IF($E599="APPROVATO",1,IF($E599="In svolgimento",IF($F599="",0,$F599),0)))</f>
        <v/>
      </c>
      <c r="N599" s="10" t="str">
        <f aca="false">IF(OR($A599="",$I599="NON MAPPATO",$I599=""),"",$L599*$M599)</f>
        <v/>
      </c>
    </row>
    <row r="600" customFormat="false" ht="15" hidden="false" customHeight="false" outlineLevel="0" collapsed="false">
      <c r="A600" s="6"/>
      <c r="B600" s="7"/>
      <c r="C600" s="6"/>
      <c r="D600" s="6"/>
      <c r="E600" s="6"/>
      <c r="F600" s="8"/>
      <c r="G600" s="9"/>
      <c r="H600" s="7"/>
      <c r="I600" s="6" t="str">
        <f aca="false">IF($A600="","",IFERROR(VLOOKUP($A600,Transcodifica!$A$5:$J$400,5,FALSE()),"NON MAPPATO"))</f>
        <v/>
      </c>
      <c r="J600" s="6" t="str">
        <f aca="false">IF($A600="","",IFERROR(VLOOKUP($A600,Transcodifica!$A$5:$J$400,7,FALSE()),""))</f>
        <v/>
      </c>
      <c r="K600" s="6" t="str">
        <f aca="false">IF($A600="","",IFERROR(VLOOKUP($A600,Transcodifica!$A$5:$J$400,8,FALSE()),""))</f>
        <v/>
      </c>
      <c r="L600" s="6" t="str">
        <f aca="false">IF($A600="","",IFERROR(VLOOKUP($A600,Transcodifica!$A$5:$J$400,9,FALSE()),""))</f>
        <v/>
      </c>
      <c r="M600" s="8" t="str">
        <f aca="false">IF($A600="","",IF($E600="APPROVATO",1,IF($E600="In svolgimento",IF($F600="",0,$F600),0)))</f>
        <v/>
      </c>
      <c r="N600" s="10" t="str">
        <f aca="false">IF(OR($A600="",$I600="NON MAPPATO",$I600=""),"",$L600*$M600)</f>
        <v/>
      </c>
    </row>
  </sheetData>
  <autoFilter ref="A4:N600"/>
  <conditionalFormatting sqref="I5:I600">
    <cfRule type="cellIs" priority="2" operator="equal" aboveAverage="0" equalAverage="0" bottom="0" percent="0" rank="0" text="" dxfId="4">
      <formula>"NON MAPPATO"</formula>
    </cfRule>
  </conditionalFormatting>
  <conditionalFormatting sqref="E5:E600">
    <cfRule type="cellIs" priority="3" operator="equal" aboveAverage="0" equalAverage="0" bottom="0" percent="0" rank="0" text="" dxfId="5">
      <formula>"Conteso"</formula>
    </cfRule>
  </conditionalFormatting>
  <dataValidations count="2">
    <dataValidation allowBlank="true" errorStyle="stop" operator="between" showDropDown="false" showErrorMessage="false" showInputMessage="false" sqref="E5:E600" type="list">
      <formula1>"APPROVATO,In svolgimento,Da fare,Conteso"</formula1>
      <formula2>0</formula2>
    </dataValidation>
    <dataValidation allowBlank="true" errorStyle="stop" operator="between" showDropDown="false" showErrorMessage="false" showInputMessage="false" sqref="C5:C600" type="list">
      <formula1>"WP1 FOH,WP2 CORRIDOI,WP3 SUITE,WP4 SCALA 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28"/>
  </cols>
  <sheetData>
    <row r="1" customFormat="false" ht="1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30" hidden="false" customHeight="true" outlineLevel="0" collapsed="false">
      <c r="A4" s="3" t="s">
        <v>6</v>
      </c>
      <c r="B4" s="3" t="s">
        <v>7</v>
      </c>
      <c r="C4" s="3" t="s">
        <v>30</v>
      </c>
      <c r="D4" s="3" t="s">
        <v>36</v>
      </c>
      <c r="E4" s="3" t="s">
        <v>37</v>
      </c>
      <c r="F4" s="3" t="s">
        <v>38</v>
      </c>
      <c r="G4" s="3" t="s">
        <v>11</v>
      </c>
    </row>
    <row r="5" customFormat="false" ht="15" hidden="false" customHeight="false" outlineLevel="0" collapsed="false">
      <c r="A5" s="6"/>
      <c r="B5" s="7"/>
      <c r="C5" s="6"/>
      <c r="D5" s="10" t="str">
        <f aca="false">IF($A5="","",SUMIFS('Import InSite'!$N$5:$N$600,'Import InSite'!$I$5:$I$600,$A5))</f>
        <v/>
      </c>
      <c r="E5" s="6" t="str">
        <f aca="false">IF($A5="","",COUNTIFS('Import InSite'!$I$5:$I$600,$A5))</f>
        <v/>
      </c>
      <c r="F5" s="6" t="str">
        <f aca="false">IF($A5="","",COUNTIFS('Import InSite'!$I$5:$I$600,$A5,'Import InSite'!$E$5:$E$600,"Conteso"))</f>
        <v/>
      </c>
      <c r="G5" s="7"/>
    </row>
    <row r="6" customFormat="false" ht="15" hidden="false" customHeight="false" outlineLevel="0" collapsed="false">
      <c r="A6" s="6"/>
      <c r="B6" s="7"/>
      <c r="C6" s="6"/>
      <c r="D6" s="10" t="str">
        <f aca="false">IF($A6="","",SUMIFS('Import InSite'!$N$5:$N$600,'Import InSite'!$I$5:$I$600,$A6))</f>
        <v/>
      </c>
      <c r="E6" s="6" t="str">
        <f aca="false">IF($A6="","",COUNTIFS('Import InSite'!$I$5:$I$600,$A6))</f>
        <v/>
      </c>
      <c r="F6" s="6" t="str">
        <f aca="false">IF($A6="","",COUNTIFS('Import InSite'!$I$5:$I$600,$A6,'Import InSite'!$E$5:$E$600,"Conteso"))</f>
        <v/>
      </c>
      <c r="G6" s="7"/>
    </row>
    <row r="7" customFormat="false" ht="15" hidden="false" customHeight="false" outlineLevel="0" collapsed="false">
      <c r="A7" s="6"/>
      <c r="B7" s="7"/>
      <c r="C7" s="6"/>
      <c r="D7" s="10" t="str">
        <f aca="false">IF($A7="","",SUMIFS('Import InSite'!$N$5:$N$600,'Import InSite'!$I$5:$I$600,$A7))</f>
        <v/>
      </c>
      <c r="E7" s="6" t="str">
        <f aca="false">IF($A7="","",COUNTIFS('Import InSite'!$I$5:$I$600,$A7))</f>
        <v/>
      </c>
      <c r="F7" s="6" t="str">
        <f aca="false">IF($A7="","",COUNTIFS('Import InSite'!$I$5:$I$600,$A7,'Import InSite'!$E$5:$E$600,"Conteso"))</f>
        <v/>
      </c>
      <c r="G7" s="7"/>
    </row>
    <row r="8" customFormat="false" ht="15" hidden="false" customHeight="false" outlineLevel="0" collapsed="false">
      <c r="A8" s="6"/>
      <c r="B8" s="7"/>
      <c r="C8" s="6"/>
      <c r="D8" s="10" t="str">
        <f aca="false">IF($A8="","",SUMIFS('Import InSite'!$N$5:$N$600,'Import InSite'!$I$5:$I$600,$A8))</f>
        <v/>
      </c>
      <c r="E8" s="6" t="str">
        <f aca="false">IF($A8="","",COUNTIFS('Import InSite'!$I$5:$I$600,$A8))</f>
        <v/>
      </c>
      <c r="F8" s="6" t="str">
        <f aca="false">IF($A8="","",COUNTIFS('Import InSite'!$I$5:$I$600,$A8,'Import InSite'!$E$5:$E$600,"Conteso"))</f>
        <v/>
      </c>
      <c r="G8" s="7"/>
    </row>
    <row r="9" customFormat="false" ht="15" hidden="false" customHeight="false" outlineLevel="0" collapsed="false">
      <c r="A9" s="6"/>
      <c r="B9" s="7"/>
      <c r="C9" s="6"/>
      <c r="D9" s="10" t="str">
        <f aca="false">IF($A9="","",SUMIFS('Import InSite'!$N$5:$N$600,'Import InSite'!$I$5:$I$600,$A9))</f>
        <v/>
      </c>
      <c r="E9" s="6" t="str">
        <f aca="false">IF($A9="","",COUNTIFS('Import InSite'!$I$5:$I$600,$A9))</f>
        <v/>
      </c>
      <c r="F9" s="6" t="str">
        <f aca="false">IF($A9="","",COUNTIFS('Import InSite'!$I$5:$I$600,$A9,'Import InSite'!$E$5:$E$600,"Conteso"))</f>
        <v/>
      </c>
      <c r="G9" s="7"/>
    </row>
    <row r="10" customFormat="false" ht="15" hidden="false" customHeight="false" outlineLevel="0" collapsed="false">
      <c r="A10" s="6"/>
      <c r="B10" s="7"/>
      <c r="C10" s="6"/>
      <c r="D10" s="10" t="str">
        <f aca="false">IF($A10="","",SUMIFS('Import InSite'!$N$5:$N$600,'Import InSite'!$I$5:$I$600,$A10))</f>
        <v/>
      </c>
      <c r="E10" s="6" t="str">
        <f aca="false">IF($A10="","",COUNTIFS('Import InSite'!$I$5:$I$600,$A10))</f>
        <v/>
      </c>
      <c r="F10" s="6" t="str">
        <f aca="false">IF($A10="","",COUNTIFS('Import InSite'!$I$5:$I$600,$A10,'Import InSite'!$E$5:$E$600,"Conteso"))</f>
        <v/>
      </c>
      <c r="G10" s="7"/>
    </row>
    <row r="11" customFormat="false" ht="15" hidden="false" customHeight="false" outlineLevel="0" collapsed="false">
      <c r="A11" s="6"/>
      <c r="B11" s="7"/>
      <c r="C11" s="6"/>
      <c r="D11" s="10" t="str">
        <f aca="false">IF($A11="","",SUMIFS('Import InSite'!$N$5:$N$600,'Import InSite'!$I$5:$I$600,$A11))</f>
        <v/>
      </c>
      <c r="E11" s="6" t="str">
        <f aca="false">IF($A11="","",COUNTIFS('Import InSite'!$I$5:$I$600,$A11))</f>
        <v/>
      </c>
      <c r="F11" s="6" t="str">
        <f aca="false">IF($A11="","",COUNTIFS('Import InSite'!$I$5:$I$600,$A11,'Import InSite'!$E$5:$E$600,"Conteso"))</f>
        <v/>
      </c>
      <c r="G11" s="7"/>
    </row>
    <row r="12" customFormat="false" ht="15" hidden="false" customHeight="false" outlineLevel="0" collapsed="false">
      <c r="A12" s="6"/>
      <c r="B12" s="7"/>
      <c r="C12" s="6"/>
      <c r="D12" s="10" t="str">
        <f aca="false">IF($A12="","",SUMIFS('Import InSite'!$N$5:$N$600,'Import InSite'!$I$5:$I$600,$A12))</f>
        <v/>
      </c>
      <c r="E12" s="6" t="str">
        <f aca="false">IF($A12="","",COUNTIFS('Import InSite'!$I$5:$I$600,$A12))</f>
        <v/>
      </c>
      <c r="F12" s="6" t="str">
        <f aca="false">IF($A12="","",COUNTIFS('Import InSite'!$I$5:$I$600,$A12,'Import InSite'!$E$5:$E$600,"Conteso"))</f>
        <v/>
      </c>
      <c r="G12" s="7"/>
    </row>
    <row r="13" customFormat="false" ht="15" hidden="false" customHeight="false" outlineLevel="0" collapsed="false">
      <c r="A13" s="6"/>
      <c r="B13" s="7"/>
      <c r="C13" s="6"/>
      <c r="D13" s="10" t="str">
        <f aca="false">IF($A13="","",SUMIFS('Import InSite'!$N$5:$N$600,'Import InSite'!$I$5:$I$600,$A13))</f>
        <v/>
      </c>
      <c r="E13" s="6" t="str">
        <f aca="false">IF($A13="","",COUNTIFS('Import InSite'!$I$5:$I$600,$A13))</f>
        <v/>
      </c>
      <c r="F13" s="6" t="str">
        <f aca="false">IF($A13="","",COUNTIFS('Import InSite'!$I$5:$I$600,$A13,'Import InSite'!$E$5:$E$600,"Conteso"))</f>
        <v/>
      </c>
      <c r="G13" s="7"/>
    </row>
    <row r="14" customFormat="false" ht="15" hidden="false" customHeight="false" outlineLevel="0" collapsed="false">
      <c r="A14" s="6"/>
      <c r="B14" s="7"/>
      <c r="C14" s="6"/>
      <c r="D14" s="10" t="str">
        <f aca="false">IF($A14="","",SUMIFS('Import InSite'!$N$5:$N$600,'Import InSite'!$I$5:$I$600,$A14))</f>
        <v/>
      </c>
      <c r="E14" s="6" t="str">
        <f aca="false">IF($A14="","",COUNTIFS('Import InSite'!$I$5:$I$600,$A14))</f>
        <v/>
      </c>
      <c r="F14" s="6" t="str">
        <f aca="false">IF($A14="","",COUNTIFS('Import InSite'!$I$5:$I$600,$A14,'Import InSite'!$E$5:$E$600,"Conteso"))</f>
        <v/>
      </c>
      <c r="G14" s="7"/>
    </row>
    <row r="15" customFormat="false" ht="15" hidden="false" customHeight="false" outlineLevel="0" collapsed="false">
      <c r="A15" s="6"/>
      <c r="B15" s="7"/>
      <c r="C15" s="6"/>
      <c r="D15" s="10" t="str">
        <f aca="false">IF($A15="","",SUMIFS('Import InSite'!$N$5:$N$600,'Import InSite'!$I$5:$I$600,$A15))</f>
        <v/>
      </c>
      <c r="E15" s="6" t="str">
        <f aca="false">IF($A15="","",COUNTIFS('Import InSite'!$I$5:$I$600,$A15))</f>
        <v/>
      </c>
      <c r="F15" s="6" t="str">
        <f aca="false">IF($A15="","",COUNTIFS('Import InSite'!$I$5:$I$600,$A15,'Import InSite'!$E$5:$E$600,"Conteso"))</f>
        <v/>
      </c>
      <c r="G15" s="7"/>
    </row>
    <row r="16" customFormat="false" ht="15" hidden="false" customHeight="false" outlineLevel="0" collapsed="false">
      <c r="A16" s="6"/>
      <c r="B16" s="7"/>
      <c r="C16" s="6"/>
      <c r="D16" s="10" t="str">
        <f aca="false">IF($A16="","",SUMIFS('Import InSite'!$N$5:$N$600,'Import InSite'!$I$5:$I$600,$A16))</f>
        <v/>
      </c>
      <c r="E16" s="6" t="str">
        <f aca="false">IF($A16="","",COUNTIFS('Import InSite'!$I$5:$I$600,$A16))</f>
        <v/>
      </c>
      <c r="F16" s="6" t="str">
        <f aca="false">IF($A16="","",COUNTIFS('Import InSite'!$I$5:$I$600,$A16,'Import InSite'!$E$5:$E$600,"Conteso"))</f>
        <v/>
      </c>
      <c r="G16" s="7"/>
    </row>
    <row r="17" customFormat="false" ht="15" hidden="false" customHeight="false" outlineLevel="0" collapsed="false">
      <c r="A17" s="6"/>
      <c r="B17" s="7"/>
      <c r="C17" s="6"/>
      <c r="D17" s="10" t="str">
        <f aca="false">IF($A17="","",SUMIFS('Import InSite'!$N$5:$N$600,'Import InSite'!$I$5:$I$600,$A17))</f>
        <v/>
      </c>
      <c r="E17" s="6" t="str">
        <f aca="false">IF($A17="","",COUNTIFS('Import InSite'!$I$5:$I$600,$A17))</f>
        <v/>
      </c>
      <c r="F17" s="6" t="str">
        <f aca="false">IF($A17="","",COUNTIFS('Import InSite'!$I$5:$I$600,$A17,'Import InSite'!$E$5:$E$600,"Conteso"))</f>
        <v/>
      </c>
      <c r="G17" s="7"/>
    </row>
    <row r="18" customFormat="false" ht="15" hidden="false" customHeight="false" outlineLevel="0" collapsed="false">
      <c r="A18" s="6"/>
      <c r="B18" s="7"/>
      <c r="C18" s="6"/>
      <c r="D18" s="10" t="str">
        <f aca="false">IF($A18="","",SUMIFS('Import InSite'!$N$5:$N$600,'Import InSite'!$I$5:$I$600,$A18))</f>
        <v/>
      </c>
      <c r="E18" s="6" t="str">
        <f aca="false">IF($A18="","",COUNTIFS('Import InSite'!$I$5:$I$600,$A18))</f>
        <v/>
      </c>
      <c r="F18" s="6" t="str">
        <f aca="false">IF($A18="","",COUNTIFS('Import InSite'!$I$5:$I$600,$A18,'Import InSite'!$E$5:$E$600,"Conteso"))</f>
        <v/>
      </c>
      <c r="G18" s="7"/>
    </row>
    <row r="19" customFormat="false" ht="15" hidden="false" customHeight="false" outlineLevel="0" collapsed="false">
      <c r="A19" s="6"/>
      <c r="B19" s="7"/>
      <c r="C19" s="6"/>
      <c r="D19" s="10" t="str">
        <f aca="false">IF($A19="","",SUMIFS('Import InSite'!$N$5:$N$600,'Import InSite'!$I$5:$I$600,$A19))</f>
        <v/>
      </c>
      <c r="E19" s="6" t="str">
        <f aca="false">IF($A19="","",COUNTIFS('Import InSite'!$I$5:$I$600,$A19))</f>
        <v/>
      </c>
      <c r="F19" s="6" t="str">
        <f aca="false">IF($A19="","",COUNTIFS('Import InSite'!$I$5:$I$600,$A19,'Import InSite'!$E$5:$E$600,"Conteso"))</f>
        <v/>
      </c>
      <c r="G19" s="7"/>
    </row>
    <row r="20" customFormat="false" ht="15" hidden="false" customHeight="false" outlineLevel="0" collapsed="false">
      <c r="A20" s="6"/>
      <c r="B20" s="7"/>
      <c r="C20" s="6"/>
      <c r="D20" s="10" t="str">
        <f aca="false">IF($A20="","",SUMIFS('Import InSite'!$N$5:$N$600,'Import InSite'!$I$5:$I$600,$A20))</f>
        <v/>
      </c>
      <c r="E20" s="6" t="str">
        <f aca="false">IF($A20="","",COUNTIFS('Import InSite'!$I$5:$I$600,$A20))</f>
        <v/>
      </c>
      <c r="F20" s="6" t="str">
        <f aca="false">IF($A20="","",COUNTIFS('Import InSite'!$I$5:$I$600,$A20,'Import InSite'!$E$5:$E$600,"Conteso"))</f>
        <v/>
      </c>
      <c r="G20" s="7"/>
    </row>
    <row r="21" customFormat="false" ht="15" hidden="false" customHeight="false" outlineLevel="0" collapsed="false">
      <c r="A21" s="6"/>
      <c r="B21" s="7"/>
      <c r="C21" s="6"/>
      <c r="D21" s="10" t="str">
        <f aca="false">IF($A21="","",SUMIFS('Import InSite'!$N$5:$N$600,'Import InSite'!$I$5:$I$600,$A21))</f>
        <v/>
      </c>
      <c r="E21" s="6" t="str">
        <f aca="false">IF($A21="","",COUNTIFS('Import InSite'!$I$5:$I$600,$A21))</f>
        <v/>
      </c>
      <c r="F21" s="6" t="str">
        <f aca="false">IF($A21="","",COUNTIFS('Import InSite'!$I$5:$I$600,$A21,'Import InSite'!$E$5:$E$600,"Conteso"))</f>
        <v/>
      </c>
      <c r="G21" s="7"/>
    </row>
    <row r="22" customFormat="false" ht="15" hidden="false" customHeight="false" outlineLevel="0" collapsed="false">
      <c r="A22" s="6"/>
      <c r="B22" s="7"/>
      <c r="C22" s="6"/>
      <c r="D22" s="10" t="str">
        <f aca="false">IF($A22="","",SUMIFS('Import InSite'!$N$5:$N$600,'Import InSite'!$I$5:$I$600,$A22))</f>
        <v/>
      </c>
      <c r="E22" s="6" t="str">
        <f aca="false">IF($A22="","",COUNTIFS('Import InSite'!$I$5:$I$600,$A22))</f>
        <v/>
      </c>
      <c r="F22" s="6" t="str">
        <f aca="false">IF($A22="","",COUNTIFS('Import InSite'!$I$5:$I$600,$A22,'Import InSite'!$E$5:$E$600,"Conteso"))</f>
        <v/>
      </c>
      <c r="G22" s="7"/>
    </row>
    <row r="23" customFormat="false" ht="15" hidden="false" customHeight="false" outlineLevel="0" collapsed="false">
      <c r="A23" s="6"/>
      <c r="B23" s="7"/>
      <c r="C23" s="6"/>
      <c r="D23" s="10" t="str">
        <f aca="false">IF($A23="","",SUMIFS('Import InSite'!$N$5:$N$600,'Import InSite'!$I$5:$I$600,$A23))</f>
        <v/>
      </c>
      <c r="E23" s="6" t="str">
        <f aca="false">IF($A23="","",COUNTIFS('Import InSite'!$I$5:$I$600,$A23))</f>
        <v/>
      </c>
      <c r="F23" s="6" t="str">
        <f aca="false">IF($A23="","",COUNTIFS('Import InSite'!$I$5:$I$600,$A23,'Import InSite'!$E$5:$E$600,"Conteso"))</f>
        <v/>
      </c>
      <c r="G23" s="7"/>
    </row>
    <row r="24" customFormat="false" ht="15" hidden="false" customHeight="false" outlineLevel="0" collapsed="false">
      <c r="A24" s="6"/>
      <c r="B24" s="7"/>
      <c r="C24" s="6"/>
      <c r="D24" s="10" t="str">
        <f aca="false">IF($A24="","",SUMIFS('Import InSite'!$N$5:$N$600,'Import InSite'!$I$5:$I$600,$A24))</f>
        <v/>
      </c>
      <c r="E24" s="6" t="str">
        <f aca="false">IF($A24="","",COUNTIFS('Import InSite'!$I$5:$I$600,$A24))</f>
        <v/>
      </c>
      <c r="F24" s="6" t="str">
        <f aca="false">IF($A24="","",COUNTIFS('Import InSite'!$I$5:$I$600,$A24,'Import InSite'!$E$5:$E$600,"Conteso"))</f>
        <v/>
      </c>
      <c r="G24" s="7"/>
    </row>
    <row r="25" customFormat="false" ht="15" hidden="false" customHeight="false" outlineLevel="0" collapsed="false">
      <c r="A25" s="6"/>
      <c r="B25" s="7"/>
      <c r="C25" s="6"/>
      <c r="D25" s="10" t="str">
        <f aca="false">IF($A25="","",SUMIFS('Import InSite'!$N$5:$N$600,'Import InSite'!$I$5:$I$600,$A25))</f>
        <v/>
      </c>
      <c r="E25" s="6" t="str">
        <f aca="false">IF($A25="","",COUNTIFS('Import InSite'!$I$5:$I$600,$A25))</f>
        <v/>
      </c>
      <c r="F25" s="6" t="str">
        <f aca="false">IF($A25="","",COUNTIFS('Import InSite'!$I$5:$I$600,$A25,'Import InSite'!$E$5:$E$600,"Conteso"))</f>
        <v/>
      </c>
      <c r="G25" s="7"/>
    </row>
    <row r="26" customFormat="false" ht="15" hidden="false" customHeight="false" outlineLevel="0" collapsed="false">
      <c r="A26" s="6"/>
      <c r="B26" s="7"/>
      <c r="C26" s="6"/>
      <c r="D26" s="10" t="str">
        <f aca="false">IF($A26="","",SUMIFS('Import InSite'!$N$5:$N$600,'Import InSite'!$I$5:$I$600,$A26))</f>
        <v/>
      </c>
      <c r="E26" s="6" t="str">
        <f aca="false">IF($A26="","",COUNTIFS('Import InSite'!$I$5:$I$600,$A26))</f>
        <v/>
      </c>
      <c r="F26" s="6" t="str">
        <f aca="false">IF($A26="","",COUNTIFS('Import InSite'!$I$5:$I$600,$A26,'Import InSite'!$E$5:$E$600,"Conteso"))</f>
        <v/>
      </c>
      <c r="G26" s="7"/>
    </row>
    <row r="27" customFormat="false" ht="15" hidden="false" customHeight="false" outlineLevel="0" collapsed="false">
      <c r="A27" s="6"/>
      <c r="B27" s="7"/>
      <c r="C27" s="6"/>
      <c r="D27" s="10" t="str">
        <f aca="false">IF($A27="","",SUMIFS('Import InSite'!$N$5:$N$600,'Import InSite'!$I$5:$I$600,$A27))</f>
        <v/>
      </c>
      <c r="E27" s="6" t="str">
        <f aca="false">IF($A27="","",COUNTIFS('Import InSite'!$I$5:$I$600,$A27))</f>
        <v/>
      </c>
      <c r="F27" s="6" t="str">
        <f aca="false">IF($A27="","",COUNTIFS('Import InSite'!$I$5:$I$600,$A27,'Import InSite'!$E$5:$E$600,"Conteso"))</f>
        <v/>
      </c>
      <c r="G27" s="7"/>
    </row>
    <row r="28" customFormat="false" ht="15" hidden="false" customHeight="false" outlineLevel="0" collapsed="false">
      <c r="A28" s="6"/>
      <c r="B28" s="7"/>
      <c r="C28" s="6"/>
      <c r="D28" s="10" t="str">
        <f aca="false">IF($A28="","",SUMIFS('Import InSite'!$N$5:$N$600,'Import InSite'!$I$5:$I$600,$A28))</f>
        <v/>
      </c>
      <c r="E28" s="6" t="str">
        <f aca="false">IF($A28="","",COUNTIFS('Import InSite'!$I$5:$I$600,$A28))</f>
        <v/>
      </c>
      <c r="F28" s="6" t="str">
        <f aca="false">IF($A28="","",COUNTIFS('Import InSite'!$I$5:$I$600,$A28,'Import InSite'!$E$5:$E$600,"Conteso"))</f>
        <v/>
      </c>
      <c r="G28" s="7"/>
    </row>
    <row r="29" customFormat="false" ht="15" hidden="false" customHeight="false" outlineLevel="0" collapsed="false">
      <c r="A29" s="6"/>
      <c r="B29" s="7"/>
      <c r="C29" s="6"/>
      <c r="D29" s="10" t="str">
        <f aca="false">IF($A29="","",SUMIFS('Import InSite'!$N$5:$N$600,'Import InSite'!$I$5:$I$600,$A29))</f>
        <v/>
      </c>
      <c r="E29" s="6" t="str">
        <f aca="false">IF($A29="","",COUNTIFS('Import InSite'!$I$5:$I$600,$A29))</f>
        <v/>
      </c>
      <c r="F29" s="6" t="str">
        <f aca="false">IF($A29="","",COUNTIFS('Import InSite'!$I$5:$I$600,$A29,'Import InSite'!$E$5:$E$600,"Conteso"))</f>
        <v/>
      </c>
      <c r="G29" s="7"/>
    </row>
    <row r="30" customFormat="false" ht="15" hidden="false" customHeight="false" outlineLevel="0" collapsed="false">
      <c r="A30" s="6"/>
      <c r="B30" s="7"/>
      <c r="C30" s="6"/>
      <c r="D30" s="10" t="str">
        <f aca="false">IF($A30="","",SUMIFS('Import InSite'!$N$5:$N$600,'Import InSite'!$I$5:$I$600,$A30))</f>
        <v/>
      </c>
      <c r="E30" s="6" t="str">
        <f aca="false">IF($A30="","",COUNTIFS('Import InSite'!$I$5:$I$600,$A30))</f>
        <v/>
      </c>
      <c r="F30" s="6" t="str">
        <f aca="false">IF($A30="","",COUNTIFS('Import InSite'!$I$5:$I$600,$A30,'Import InSite'!$E$5:$E$600,"Conteso"))</f>
        <v/>
      </c>
      <c r="G30" s="7"/>
    </row>
    <row r="31" customFormat="false" ht="15" hidden="false" customHeight="false" outlineLevel="0" collapsed="false">
      <c r="A31" s="6"/>
      <c r="B31" s="7"/>
      <c r="C31" s="6"/>
      <c r="D31" s="10" t="str">
        <f aca="false">IF($A31="","",SUMIFS('Import InSite'!$N$5:$N$600,'Import InSite'!$I$5:$I$600,$A31))</f>
        <v/>
      </c>
      <c r="E31" s="6" t="str">
        <f aca="false">IF($A31="","",COUNTIFS('Import InSite'!$I$5:$I$600,$A31))</f>
        <v/>
      </c>
      <c r="F31" s="6" t="str">
        <f aca="false">IF($A31="","",COUNTIFS('Import InSite'!$I$5:$I$600,$A31,'Import InSite'!$E$5:$E$600,"Conteso"))</f>
        <v/>
      </c>
      <c r="G31" s="7"/>
    </row>
    <row r="32" customFormat="false" ht="15" hidden="false" customHeight="false" outlineLevel="0" collapsed="false">
      <c r="A32" s="6"/>
      <c r="B32" s="7"/>
      <c r="C32" s="6"/>
      <c r="D32" s="10" t="str">
        <f aca="false">IF($A32="","",SUMIFS('Import InSite'!$N$5:$N$600,'Import InSite'!$I$5:$I$600,$A32))</f>
        <v/>
      </c>
      <c r="E32" s="6" t="str">
        <f aca="false">IF($A32="","",COUNTIFS('Import InSite'!$I$5:$I$600,$A32))</f>
        <v/>
      </c>
      <c r="F32" s="6" t="str">
        <f aca="false">IF($A32="","",COUNTIFS('Import InSite'!$I$5:$I$600,$A32,'Import InSite'!$E$5:$E$600,"Conteso"))</f>
        <v/>
      </c>
      <c r="G32" s="7"/>
    </row>
    <row r="33" customFormat="false" ht="15" hidden="false" customHeight="false" outlineLevel="0" collapsed="false">
      <c r="A33" s="6"/>
      <c r="B33" s="7"/>
      <c r="C33" s="6"/>
      <c r="D33" s="10" t="str">
        <f aca="false">IF($A33="","",SUMIFS('Import InSite'!$N$5:$N$600,'Import InSite'!$I$5:$I$600,$A33))</f>
        <v/>
      </c>
      <c r="E33" s="6" t="str">
        <f aca="false">IF($A33="","",COUNTIFS('Import InSite'!$I$5:$I$600,$A33))</f>
        <v/>
      </c>
      <c r="F33" s="6" t="str">
        <f aca="false">IF($A33="","",COUNTIFS('Import InSite'!$I$5:$I$600,$A33,'Import InSite'!$E$5:$E$600,"Conteso"))</f>
        <v/>
      </c>
      <c r="G33" s="7"/>
    </row>
    <row r="34" customFormat="false" ht="15" hidden="false" customHeight="false" outlineLevel="0" collapsed="false">
      <c r="A34" s="6"/>
      <c r="B34" s="7"/>
      <c r="C34" s="6"/>
      <c r="D34" s="10" t="str">
        <f aca="false">IF($A34="","",SUMIFS('Import InSite'!$N$5:$N$600,'Import InSite'!$I$5:$I$600,$A34))</f>
        <v/>
      </c>
      <c r="E34" s="6" t="str">
        <f aca="false">IF($A34="","",COUNTIFS('Import InSite'!$I$5:$I$600,$A34))</f>
        <v/>
      </c>
      <c r="F34" s="6" t="str">
        <f aca="false">IF($A34="","",COUNTIFS('Import InSite'!$I$5:$I$600,$A34,'Import InSite'!$E$5:$E$600,"Conteso"))</f>
        <v/>
      </c>
      <c r="G34" s="7"/>
    </row>
    <row r="35" customFormat="false" ht="15" hidden="false" customHeight="false" outlineLevel="0" collapsed="false">
      <c r="A35" s="6"/>
      <c r="B35" s="7"/>
      <c r="C35" s="6"/>
      <c r="D35" s="10" t="str">
        <f aca="false">IF($A35="","",SUMIFS('Import InSite'!$N$5:$N$600,'Import InSite'!$I$5:$I$600,$A35))</f>
        <v/>
      </c>
      <c r="E35" s="6" t="str">
        <f aca="false">IF($A35="","",COUNTIFS('Import InSite'!$I$5:$I$600,$A35))</f>
        <v/>
      </c>
      <c r="F35" s="6" t="str">
        <f aca="false">IF($A35="","",COUNTIFS('Import InSite'!$I$5:$I$600,$A35,'Import InSite'!$E$5:$E$600,"Conteso"))</f>
        <v/>
      </c>
      <c r="G35" s="7"/>
    </row>
    <row r="36" customFormat="false" ht="15" hidden="false" customHeight="false" outlineLevel="0" collapsed="false">
      <c r="A36" s="6"/>
      <c r="B36" s="7"/>
      <c r="C36" s="6"/>
      <c r="D36" s="10" t="str">
        <f aca="false">IF($A36="","",SUMIFS('Import InSite'!$N$5:$N$600,'Import InSite'!$I$5:$I$600,$A36))</f>
        <v/>
      </c>
      <c r="E36" s="6" t="str">
        <f aca="false">IF($A36="","",COUNTIFS('Import InSite'!$I$5:$I$600,$A36))</f>
        <v/>
      </c>
      <c r="F36" s="6" t="str">
        <f aca="false">IF($A36="","",COUNTIFS('Import InSite'!$I$5:$I$600,$A36,'Import InSite'!$E$5:$E$600,"Conteso"))</f>
        <v/>
      </c>
      <c r="G36" s="7"/>
    </row>
    <row r="37" customFormat="false" ht="15" hidden="false" customHeight="false" outlineLevel="0" collapsed="false">
      <c r="A37" s="6"/>
      <c r="B37" s="7"/>
      <c r="C37" s="6"/>
      <c r="D37" s="10" t="str">
        <f aca="false">IF($A37="","",SUMIFS('Import InSite'!$N$5:$N$600,'Import InSite'!$I$5:$I$600,$A37))</f>
        <v/>
      </c>
      <c r="E37" s="6" t="str">
        <f aca="false">IF($A37="","",COUNTIFS('Import InSite'!$I$5:$I$600,$A37))</f>
        <v/>
      </c>
      <c r="F37" s="6" t="str">
        <f aca="false">IF($A37="","",COUNTIFS('Import InSite'!$I$5:$I$600,$A37,'Import InSite'!$E$5:$E$600,"Conteso"))</f>
        <v/>
      </c>
      <c r="G37" s="7"/>
    </row>
    <row r="38" customFormat="false" ht="15" hidden="false" customHeight="false" outlineLevel="0" collapsed="false">
      <c r="A38" s="6"/>
      <c r="B38" s="7"/>
      <c r="C38" s="6"/>
      <c r="D38" s="10" t="str">
        <f aca="false">IF($A38="","",SUMIFS('Import InSite'!$N$5:$N$600,'Import InSite'!$I$5:$I$600,$A38))</f>
        <v/>
      </c>
      <c r="E38" s="6" t="str">
        <f aca="false">IF($A38="","",COUNTIFS('Import InSite'!$I$5:$I$600,$A38))</f>
        <v/>
      </c>
      <c r="F38" s="6" t="str">
        <f aca="false">IF($A38="","",COUNTIFS('Import InSite'!$I$5:$I$600,$A38,'Import InSite'!$E$5:$E$600,"Conteso"))</f>
        <v/>
      </c>
      <c r="G38" s="7"/>
    </row>
    <row r="39" customFormat="false" ht="15" hidden="false" customHeight="false" outlineLevel="0" collapsed="false">
      <c r="A39" s="6"/>
      <c r="B39" s="7"/>
      <c r="C39" s="6"/>
      <c r="D39" s="10" t="str">
        <f aca="false">IF($A39="","",SUMIFS('Import InSite'!$N$5:$N$600,'Import InSite'!$I$5:$I$600,$A39))</f>
        <v/>
      </c>
      <c r="E39" s="6" t="str">
        <f aca="false">IF($A39="","",COUNTIFS('Import InSite'!$I$5:$I$600,$A39))</f>
        <v/>
      </c>
      <c r="F39" s="6" t="str">
        <f aca="false">IF($A39="","",COUNTIFS('Import InSite'!$I$5:$I$600,$A39,'Import InSite'!$E$5:$E$600,"Conteso"))</f>
        <v/>
      </c>
      <c r="G39" s="7"/>
    </row>
    <row r="40" customFormat="false" ht="15" hidden="false" customHeight="false" outlineLevel="0" collapsed="false">
      <c r="A40" s="6"/>
      <c r="B40" s="7"/>
      <c r="C40" s="6"/>
      <c r="D40" s="10" t="str">
        <f aca="false">IF($A40="","",SUMIFS('Import InSite'!$N$5:$N$600,'Import InSite'!$I$5:$I$600,$A40))</f>
        <v/>
      </c>
      <c r="E40" s="6" t="str">
        <f aca="false">IF($A40="","",COUNTIFS('Import InSite'!$I$5:$I$600,$A40))</f>
        <v/>
      </c>
      <c r="F40" s="6" t="str">
        <f aca="false">IF($A40="","",COUNTIFS('Import InSite'!$I$5:$I$600,$A40,'Import InSite'!$E$5:$E$600,"Conteso"))</f>
        <v/>
      </c>
      <c r="G40" s="7"/>
    </row>
    <row r="41" customFormat="false" ht="15" hidden="false" customHeight="false" outlineLevel="0" collapsed="false">
      <c r="A41" s="6"/>
      <c r="B41" s="7"/>
      <c r="C41" s="6"/>
      <c r="D41" s="10" t="str">
        <f aca="false">IF($A41="","",SUMIFS('Import InSite'!$N$5:$N$600,'Import InSite'!$I$5:$I$600,$A41))</f>
        <v/>
      </c>
      <c r="E41" s="6" t="str">
        <f aca="false">IF($A41="","",COUNTIFS('Import InSite'!$I$5:$I$600,$A41))</f>
        <v/>
      </c>
      <c r="F41" s="6" t="str">
        <f aca="false">IF($A41="","",COUNTIFS('Import InSite'!$I$5:$I$600,$A41,'Import InSite'!$E$5:$E$600,"Conteso"))</f>
        <v/>
      </c>
      <c r="G41" s="7"/>
    </row>
    <row r="42" customFormat="false" ht="15" hidden="false" customHeight="false" outlineLevel="0" collapsed="false">
      <c r="A42" s="6"/>
      <c r="B42" s="7"/>
      <c r="C42" s="6"/>
      <c r="D42" s="10" t="str">
        <f aca="false">IF($A42="","",SUMIFS('Import InSite'!$N$5:$N$600,'Import InSite'!$I$5:$I$600,$A42))</f>
        <v/>
      </c>
      <c r="E42" s="6" t="str">
        <f aca="false">IF($A42="","",COUNTIFS('Import InSite'!$I$5:$I$600,$A42))</f>
        <v/>
      </c>
      <c r="F42" s="6" t="str">
        <f aca="false">IF($A42="","",COUNTIFS('Import InSite'!$I$5:$I$600,$A42,'Import InSite'!$E$5:$E$600,"Conteso"))</f>
        <v/>
      </c>
      <c r="G42" s="7"/>
    </row>
    <row r="43" customFormat="false" ht="15" hidden="false" customHeight="false" outlineLevel="0" collapsed="false">
      <c r="A43" s="6"/>
      <c r="B43" s="7"/>
      <c r="C43" s="6"/>
      <c r="D43" s="10" t="str">
        <f aca="false">IF($A43="","",SUMIFS('Import InSite'!$N$5:$N$600,'Import InSite'!$I$5:$I$600,$A43))</f>
        <v/>
      </c>
      <c r="E43" s="6" t="str">
        <f aca="false">IF($A43="","",COUNTIFS('Import InSite'!$I$5:$I$600,$A43))</f>
        <v/>
      </c>
      <c r="F43" s="6" t="str">
        <f aca="false">IF($A43="","",COUNTIFS('Import InSite'!$I$5:$I$600,$A43,'Import InSite'!$E$5:$E$600,"Conteso"))</f>
        <v/>
      </c>
      <c r="G43" s="7"/>
    </row>
    <row r="44" customFormat="false" ht="15" hidden="false" customHeight="false" outlineLevel="0" collapsed="false">
      <c r="A44" s="6"/>
      <c r="B44" s="7"/>
      <c r="C44" s="6"/>
      <c r="D44" s="10" t="str">
        <f aca="false">IF($A44="","",SUMIFS('Import InSite'!$N$5:$N$600,'Import InSite'!$I$5:$I$600,$A44))</f>
        <v/>
      </c>
      <c r="E44" s="6" t="str">
        <f aca="false">IF($A44="","",COUNTIFS('Import InSite'!$I$5:$I$600,$A44))</f>
        <v/>
      </c>
      <c r="F44" s="6" t="str">
        <f aca="false">IF($A44="","",COUNTIFS('Import InSite'!$I$5:$I$600,$A44,'Import InSite'!$E$5:$E$600,"Conteso"))</f>
        <v/>
      </c>
      <c r="G44" s="7"/>
    </row>
    <row r="45" customFormat="false" ht="15" hidden="false" customHeight="false" outlineLevel="0" collapsed="false">
      <c r="A45" s="6"/>
      <c r="B45" s="7"/>
      <c r="C45" s="6"/>
      <c r="D45" s="10" t="str">
        <f aca="false">IF($A45="","",SUMIFS('Import InSite'!$N$5:$N$600,'Import InSite'!$I$5:$I$600,$A45))</f>
        <v/>
      </c>
      <c r="E45" s="6" t="str">
        <f aca="false">IF($A45="","",COUNTIFS('Import InSite'!$I$5:$I$600,$A45))</f>
        <v/>
      </c>
      <c r="F45" s="6" t="str">
        <f aca="false">IF($A45="","",COUNTIFS('Import InSite'!$I$5:$I$600,$A45,'Import InSite'!$E$5:$E$600,"Conteso"))</f>
        <v/>
      </c>
      <c r="G45" s="7"/>
    </row>
    <row r="46" customFormat="false" ht="15" hidden="false" customHeight="false" outlineLevel="0" collapsed="false">
      <c r="A46" s="6"/>
      <c r="B46" s="7"/>
      <c r="C46" s="6"/>
      <c r="D46" s="10" t="str">
        <f aca="false">IF($A46="","",SUMIFS('Import InSite'!$N$5:$N$600,'Import InSite'!$I$5:$I$600,$A46))</f>
        <v/>
      </c>
      <c r="E46" s="6" t="str">
        <f aca="false">IF($A46="","",COUNTIFS('Import InSite'!$I$5:$I$600,$A46))</f>
        <v/>
      </c>
      <c r="F46" s="6" t="str">
        <f aca="false">IF($A46="","",COUNTIFS('Import InSite'!$I$5:$I$600,$A46,'Import InSite'!$E$5:$E$600,"Conteso"))</f>
        <v/>
      </c>
      <c r="G46" s="7"/>
    </row>
    <row r="47" customFormat="false" ht="15" hidden="false" customHeight="false" outlineLevel="0" collapsed="false">
      <c r="A47" s="6"/>
      <c r="B47" s="7"/>
      <c r="C47" s="6"/>
      <c r="D47" s="10" t="str">
        <f aca="false">IF($A47="","",SUMIFS('Import InSite'!$N$5:$N$600,'Import InSite'!$I$5:$I$600,$A47))</f>
        <v/>
      </c>
      <c r="E47" s="6" t="str">
        <f aca="false">IF($A47="","",COUNTIFS('Import InSite'!$I$5:$I$600,$A47))</f>
        <v/>
      </c>
      <c r="F47" s="6" t="str">
        <f aca="false">IF($A47="","",COUNTIFS('Import InSite'!$I$5:$I$600,$A47,'Import InSite'!$E$5:$E$600,"Conteso"))</f>
        <v/>
      </c>
      <c r="G47" s="7"/>
    </row>
    <row r="48" customFormat="false" ht="15" hidden="false" customHeight="false" outlineLevel="0" collapsed="false">
      <c r="A48" s="6"/>
      <c r="B48" s="7"/>
      <c r="C48" s="6"/>
      <c r="D48" s="10" t="str">
        <f aca="false">IF($A48="","",SUMIFS('Import InSite'!$N$5:$N$600,'Import InSite'!$I$5:$I$600,$A48))</f>
        <v/>
      </c>
      <c r="E48" s="6" t="str">
        <f aca="false">IF($A48="","",COUNTIFS('Import InSite'!$I$5:$I$600,$A48))</f>
        <v/>
      </c>
      <c r="F48" s="6" t="str">
        <f aca="false">IF($A48="","",COUNTIFS('Import InSite'!$I$5:$I$600,$A48,'Import InSite'!$E$5:$E$600,"Conteso"))</f>
        <v/>
      </c>
      <c r="G48" s="7"/>
    </row>
    <row r="49" customFormat="false" ht="15" hidden="false" customHeight="false" outlineLevel="0" collapsed="false">
      <c r="A49" s="6"/>
      <c r="B49" s="7"/>
      <c r="C49" s="6"/>
      <c r="D49" s="10" t="str">
        <f aca="false">IF($A49="","",SUMIFS('Import InSite'!$N$5:$N$600,'Import InSite'!$I$5:$I$600,$A49))</f>
        <v/>
      </c>
      <c r="E49" s="6" t="str">
        <f aca="false">IF($A49="","",COUNTIFS('Import InSite'!$I$5:$I$600,$A49))</f>
        <v/>
      </c>
      <c r="F49" s="6" t="str">
        <f aca="false">IF($A49="","",COUNTIFS('Import InSite'!$I$5:$I$600,$A49,'Import InSite'!$E$5:$E$600,"Conteso"))</f>
        <v/>
      </c>
      <c r="G49" s="7"/>
    </row>
    <row r="50" customFormat="false" ht="15" hidden="false" customHeight="false" outlineLevel="0" collapsed="false">
      <c r="A50" s="6"/>
      <c r="B50" s="7"/>
      <c r="C50" s="6"/>
      <c r="D50" s="10" t="str">
        <f aca="false">IF($A50="","",SUMIFS('Import InSite'!$N$5:$N$600,'Import InSite'!$I$5:$I$600,$A50))</f>
        <v/>
      </c>
      <c r="E50" s="6" t="str">
        <f aca="false">IF($A50="","",COUNTIFS('Import InSite'!$I$5:$I$600,$A50))</f>
        <v/>
      </c>
      <c r="F50" s="6" t="str">
        <f aca="false">IF($A50="","",COUNTIFS('Import InSite'!$I$5:$I$600,$A50,'Import InSite'!$E$5:$E$600,"Conteso"))</f>
        <v/>
      </c>
      <c r="G50" s="7"/>
    </row>
    <row r="51" customFormat="false" ht="15" hidden="false" customHeight="false" outlineLevel="0" collapsed="false">
      <c r="A51" s="6"/>
      <c r="B51" s="7"/>
      <c r="C51" s="6"/>
      <c r="D51" s="10" t="str">
        <f aca="false">IF($A51="","",SUMIFS('Import InSite'!$N$5:$N$600,'Import InSite'!$I$5:$I$600,$A51))</f>
        <v/>
      </c>
      <c r="E51" s="6" t="str">
        <f aca="false">IF($A51="","",COUNTIFS('Import InSite'!$I$5:$I$600,$A51))</f>
        <v/>
      </c>
      <c r="F51" s="6" t="str">
        <f aca="false">IF($A51="","",COUNTIFS('Import InSite'!$I$5:$I$600,$A51,'Import InSite'!$E$5:$E$600,"Conteso"))</f>
        <v/>
      </c>
      <c r="G51" s="7"/>
    </row>
    <row r="52" customFormat="false" ht="15" hidden="false" customHeight="false" outlineLevel="0" collapsed="false">
      <c r="A52" s="6"/>
      <c r="B52" s="7"/>
      <c r="C52" s="6"/>
      <c r="D52" s="10" t="str">
        <f aca="false">IF($A52="","",SUMIFS('Import InSite'!$N$5:$N$600,'Import InSite'!$I$5:$I$600,$A52))</f>
        <v/>
      </c>
      <c r="E52" s="6" t="str">
        <f aca="false">IF($A52="","",COUNTIFS('Import InSite'!$I$5:$I$600,$A52))</f>
        <v/>
      </c>
      <c r="F52" s="6" t="str">
        <f aca="false">IF($A52="","",COUNTIFS('Import InSite'!$I$5:$I$600,$A52,'Import InSite'!$E$5:$E$600,"Conteso"))</f>
        <v/>
      </c>
      <c r="G52" s="7"/>
    </row>
    <row r="53" customFormat="false" ht="15" hidden="false" customHeight="false" outlineLevel="0" collapsed="false">
      <c r="A53" s="6"/>
      <c r="B53" s="7"/>
      <c r="C53" s="6"/>
      <c r="D53" s="10" t="str">
        <f aca="false">IF($A53="","",SUMIFS('Import InSite'!$N$5:$N$600,'Import InSite'!$I$5:$I$600,$A53))</f>
        <v/>
      </c>
      <c r="E53" s="6" t="str">
        <f aca="false">IF($A53="","",COUNTIFS('Import InSite'!$I$5:$I$600,$A53))</f>
        <v/>
      </c>
      <c r="F53" s="6" t="str">
        <f aca="false">IF($A53="","",COUNTIFS('Import InSite'!$I$5:$I$600,$A53,'Import InSite'!$E$5:$E$600,"Conteso"))</f>
        <v/>
      </c>
      <c r="G53" s="7"/>
    </row>
    <row r="54" customFormat="false" ht="15" hidden="false" customHeight="false" outlineLevel="0" collapsed="false">
      <c r="A54" s="6"/>
      <c r="B54" s="7"/>
      <c r="C54" s="6"/>
      <c r="D54" s="10" t="str">
        <f aca="false">IF($A54="","",SUMIFS('Import InSite'!$N$5:$N$600,'Import InSite'!$I$5:$I$600,$A54))</f>
        <v/>
      </c>
      <c r="E54" s="6" t="str">
        <f aca="false">IF($A54="","",COUNTIFS('Import InSite'!$I$5:$I$600,$A54))</f>
        <v/>
      </c>
      <c r="F54" s="6" t="str">
        <f aca="false">IF($A54="","",COUNTIFS('Import InSite'!$I$5:$I$600,$A54,'Import InSite'!$E$5:$E$600,"Conteso"))</f>
        <v/>
      </c>
      <c r="G54" s="7"/>
    </row>
    <row r="55" customFormat="false" ht="15" hidden="false" customHeight="false" outlineLevel="0" collapsed="false">
      <c r="A55" s="6"/>
      <c r="B55" s="7"/>
      <c r="C55" s="6"/>
      <c r="D55" s="10" t="str">
        <f aca="false">IF($A55="","",SUMIFS('Import InSite'!$N$5:$N$600,'Import InSite'!$I$5:$I$600,$A55))</f>
        <v/>
      </c>
      <c r="E55" s="6" t="str">
        <f aca="false">IF($A55="","",COUNTIFS('Import InSite'!$I$5:$I$600,$A55))</f>
        <v/>
      </c>
      <c r="F55" s="6" t="str">
        <f aca="false">IF($A55="","",COUNTIFS('Import InSite'!$I$5:$I$600,$A55,'Import InSite'!$E$5:$E$600,"Conteso"))</f>
        <v/>
      </c>
      <c r="G55" s="7"/>
    </row>
    <row r="56" customFormat="false" ht="15" hidden="false" customHeight="false" outlineLevel="0" collapsed="false">
      <c r="A56" s="6"/>
      <c r="B56" s="7"/>
      <c r="C56" s="6"/>
      <c r="D56" s="10" t="str">
        <f aca="false">IF($A56="","",SUMIFS('Import InSite'!$N$5:$N$600,'Import InSite'!$I$5:$I$600,$A56))</f>
        <v/>
      </c>
      <c r="E56" s="6" t="str">
        <f aca="false">IF($A56="","",COUNTIFS('Import InSite'!$I$5:$I$600,$A56))</f>
        <v/>
      </c>
      <c r="F56" s="6" t="str">
        <f aca="false">IF($A56="","",COUNTIFS('Import InSite'!$I$5:$I$600,$A56,'Import InSite'!$E$5:$E$600,"Conteso"))</f>
        <v/>
      </c>
      <c r="G56" s="7"/>
    </row>
    <row r="57" customFormat="false" ht="15" hidden="false" customHeight="false" outlineLevel="0" collapsed="false">
      <c r="A57" s="6"/>
      <c r="B57" s="7"/>
      <c r="C57" s="6"/>
      <c r="D57" s="10" t="str">
        <f aca="false">IF($A57="","",SUMIFS('Import InSite'!$N$5:$N$600,'Import InSite'!$I$5:$I$600,$A57))</f>
        <v/>
      </c>
      <c r="E57" s="6" t="str">
        <f aca="false">IF($A57="","",COUNTIFS('Import InSite'!$I$5:$I$600,$A57))</f>
        <v/>
      </c>
      <c r="F57" s="6" t="str">
        <f aca="false">IF($A57="","",COUNTIFS('Import InSite'!$I$5:$I$600,$A57,'Import InSite'!$E$5:$E$600,"Conteso"))</f>
        <v/>
      </c>
      <c r="G57" s="7"/>
    </row>
    <row r="58" customFormat="false" ht="15" hidden="false" customHeight="false" outlineLevel="0" collapsed="false">
      <c r="A58" s="6"/>
      <c r="B58" s="7"/>
      <c r="C58" s="6"/>
      <c r="D58" s="10" t="str">
        <f aca="false">IF($A58="","",SUMIFS('Import InSite'!$N$5:$N$600,'Import InSite'!$I$5:$I$600,$A58))</f>
        <v/>
      </c>
      <c r="E58" s="6" t="str">
        <f aca="false">IF($A58="","",COUNTIFS('Import InSite'!$I$5:$I$600,$A58))</f>
        <v/>
      </c>
      <c r="F58" s="6" t="str">
        <f aca="false">IF($A58="","",COUNTIFS('Import InSite'!$I$5:$I$600,$A58,'Import InSite'!$E$5:$E$600,"Conteso"))</f>
        <v/>
      </c>
      <c r="G58" s="7"/>
    </row>
    <row r="59" customFormat="false" ht="15" hidden="false" customHeight="false" outlineLevel="0" collapsed="false">
      <c r="A59" s="6"/>
      <c r="B59" s="7"/>
      <c r="C59" s="6"/>
      <c r="D59" s="10" t="str">
        <f aca="false">IF($A59="","",SUMIFS('Import InSite'!$N$5:$N$600,'Import InSite'!$I$5:$I$600,$A59))</f>
        <v/>
      </c>
      <c r="E59" s="6" t="str">
        <f aca="false">IF($A59="","",COUNTIFS('Import InSite'!$I$5:$I$600,$A59))</f>
        <v/>
      </c>
      <c r="F59" s="6" t="str">
        <f aca="false">IF($A59="","",COUNTIFS('Import InSite'!$I$5:$I$600,$A59,'Import InSite'!$E$5:$E$600,"Conteso"))</f>
        <v/>
      </c>
      <c r="G59" s="7"/>
    </row>
    <row r="60" customFormat="false" ht="15" hidden="false" customHeight="false" outlineLevel="0" collapsed="false">
      <c r="A60" s="6"/>
      <c r="B60" s="7"/>
      <c r="C60" s="6"/>
      <c r="D60" s="10" t="str">
        <f aca="false">IF($A60="","",SUMIFS('Import InSite'!$N$5:$N$600,'Import InSite'!$I$5:$I$600,$A60))</f>
        <v/>
      </c>
      <c r="E60" s="6" t="str">
        <f aca="false">IF($A60="","",COUNTIFS('Import InSite'!$I$5:$I$600,$A60))</f>
        <v/>
      </c>
      <c r="F60" s="6" t="str">
        <f aca="false">IF($A60="","",COUNTIFS('Import InSite'!$I$5:$I$600,$A60,'Import InSite'!$E$5:$E$600,"Conteso"))</f>
        <v/>
      </c>
      <c r="G60" s="7"/>
    </row>
    <row r="61" customFormat="false" ht="15" hidden="false" customHeight="false" outlineLevel="0" collapsed="false">
      <c r="A61" s="6"/>
      <c r="B61" s="7"/>
      <c r="C61" s="6"/>
      <c r="D61" s="10" t="str">
        <f aca="false">IF($A61="","",SUMIFS('Import InSite'!$N$5:$N$600,'Import InSite'!$I$5:$I$600,$A61))</f>
        <v/>
      </c>
      <c r="E61" s="6" t="str">
        <f aca="false">IF($A61="","",COUNTIFS('Import InSite'!$I$5:$I$600,$A61))</f>
        <v/>
      </c>
      <c r="F61" s="6" t="str">
        <f aca="false">IF($A61="","",COUNTIFS('Import InSite'!$I$5:$I$600,$A61,'Import InSite'!$E$5:$E$600,"Conteso"))</f>
        <v/>
      </c>
      <c r="G61" s="7"/>
    </row>
    <row r="62" customFormat="false" ht="15" hidden="false" customHeight="false" outlineLevel="0" collapsed="false">
      <c r="A62" s="6"/>
      <c r="B62" s="7"/>
      <c r="C62" s="6"/>
      <c r="D62" s="10" t="str">
        <f aca="false">IF($A62="","",SUMIFS('Import InSite'!$N$5:$N$600,'Import InSite'!$I$5:$I$600,$A62))</f>
        <v/>
      </c>
      <c r="E62" s="6" t="str">
        <f aca="false">IF($A62="","",COUNTIFS('Import InSite'!$I$5:$I$600,$A62))</f>
        <v/>
      </c>
      <c r="F62" s="6" t="str">
        <f aca="false">IF($A62="","",COUNTIFS('Import InSite'!$I$5:$I$600,$A62,'Import InSite'!$E$5:$E$600,"Conteso"))</f>
        <v/>
      </c>
      <c r="G62" s="7"/>
    </row>
    <row r="63" customFormat="false" ht="15" hidden="false" customHeight="false" outlineLevel="0" collapsed="false">
      <c r="A63" s="6"/>
      <c r="B63" s="7"/>
      <c r="C63" s="6"/>
      <c r="D63" s="10" t="str">
        <f aca="false">IF($A63="","",SUMIFS('Import InSite'!$N$5:$N$600,'Import InSite'!$I$5:$I$600,$A63))</f>
        <v/>
      </c>
      <c r="E63" s="6" t="str">
        <f aca="false">IF($A63="","",COUNTIFS('Import InSite'!$I$5:$I$600,$A63))</f>
        <v/>
      </c>
      <c r="F63" s="6" t="str">
        <f aca="false">IF($A63="","",COUNTIFS('Import InSite'!$I$5:$I$600,$A63,'Import InSite'!$E$5:$E$600,"Conteso"))</f>
        <v/>
      </c>
      <c r="G63" s="7"/>
    </row>
    <row r="64" customFormat="false" ht="15" hidden="false" customHeight="false" outlineLevel="0" collapsed="false">
      <c r="A64" s="6"/>
      <c r="B64" s="7"/>
      <c r="C64" s="6"/>
      <c r="D64" s="10" t="str">
        <f aca="false">IF($A64="","",SUMIFS('Import InSite'!$N$5:$N$600,'Import InSite'!$I$5:$I$600,$A64))</f>
        <v/>
      </c>
      <c r="E64" s="6" t="str">
        <f aca="false">IF($A64="","",COUNTIFS('Import InSite'!$I$5:$I$600,$A64))</f>
        <v/>
      </c>
      <c r="F64" s="6" t="str">
        <f aca="false">IF($A64="","",COUNTIFS('Import InSite'!$I$5:$I$600,$A64,'Import InSite'!$E$5:$E$600,"Conteso"))</f>
        <v/>
      </c>
      <c r="G64" s="7"/>
    </row>
    <row r="65" customFormat="false" ht="15" hidden="false" customHeight="false" outlineLevel="0" collapsed="false">
      <c r="A65" s="6"/>
      <c r="B65" s="7"/>
      <c r="C65" s="6"/>
      <c r="D65" s="10" t="str">
        <f aca="false">IF($A65="","",SUMIFS('Import InSite'!$N$5:$N$600,'Import InSite'!$I$5:$I$600,$A65))</f>
        <v/>
      </c>
      <c r="E65" s="6" t="str">
        <f aca="false">IF($A65="","",COUNTIFS('Import InSite'!$I$5:$I$600,$A65))</f>
        <v/>
      </c>
      <c r="F65" s="6" t="str">
        <f aca="false">IF($A65="","",COUNTIFS('Import InSite'!$I$5:$I$600,$A65,'Import InSite'!$E$5:$E$600,"Conteso"))</f>
        <v/>
      </c>
      <c r="G65" s="7"/>
    </row>
    <row r="66" customFormat="false" ht="15" hidden="false" customHeight="false" outlineLevel="0" collapsed="false">
      <c r="A66" s="6"/>
      <c r="B66" s="7"/>
      <c r="C66" s="6"/>
      <c r="D66" s="10" t="str">
        <f aca="false">IF($A66="","",SUMIFS('Import InSite'!$N$5:$N$600,'Import InSite'!$I$5:$I$600,$A66))</f>
        <v/>
      </c>
      <c r="E66" s="6" t="str">
        <f aca="false">IF($A66="","",COUNTIFS('Import InSite'!$I$5:$I$600,$A66))</f>
        <v/>
      </c>
      <c r="F66" s="6" t="str">
        <f aca="false">IF($A66="","",COUNTIFS('Import InSite'!$I$5:$I$600,$A66,'Import InSite'!$E$5:$E$600,"Conteso"))</f>
        <v/>
      </c>
      <c r="G66" s="7"/>
    </row>
    <row r="67" customFormat="false" ht="15" hidden="false" customHeight="false" outlineLevel="0" collapsed="false">
      <c r="A67" s="6"/>
      <c r="B67" s="7"/>
      <c r="C67" s="6"/>
      <c r="D67" s="10" t="str">
        <f aca="false">IF($A67="","",SUMIFS('Import InSite'!$N$5:$N$600,'Import InSite'!$I$5:$I$600,$A67))</f>
        <v/>
      </c>
      <c r="E67" s="6" t="str">
        <f aca="false">IF($A67="","",COUNTIFS('Import InSite'!$I$5:$I$600,$A67))</f>
        <v/>
      </c>
      <c r="F67" s="6" t="str">
        <f aca="false">IF($A67="","",COUNTIFS('Import InSite'!$I$5:$I$600,$A67,'Import InSite'!$E$5:$E$600,"Conteso"))</f>
        <v/>
      </c>
      <c r="G67" s="7"/>
    </row>
    <row r="68" customFormat="false" ht="15" hidden="false" customHeight="false" outlineLevel="0" collapsed="false">
      <c r="A68" s="6"/>
      <c r="B68" s="7"/>
      <c r="C68" s="6"/>
      <c r="D68" s="10" t="str">
        <f aca="false">IF($A68="","",SUMIFS('Import InSite'!$N$5:$N$600,'Import InSite'!$I$5:$I$600,$A68))</f>
        <v/>
      </c>
      <c r="E68" s="6" t="str">
        <f aca="false">IF($A68="","",COUNTIFS('Import InSite'!$I$5:$I$600,$A68))</f>
        <v/>
      </c>
      <c r="F68" s="6" t="str">
        <f aca="false">IF($A68="","",COUNTIFS('Import InSite'!$I$5:$I$600,$A68,'Import InSite'!$E$5:$E$600,"Conteso"))</f>
        <v/>
      </c>
      <c r="G68" s="7"/>
    </row>
    <row r="69" customFormat="false" ht="15" hidden="false" customHeight="false" outlineLevel="0" collapsed="false">
      <c r="A69" s="6"/>
      <c r="B69" s="7"/>
      <c r="C69" s="6"/>
      <c r="D69" s="10" t="str">
        <f aca="false">IF($A69="","",SUMIFS('Import InSite'!$N$5:$N$600,'Import InSite'!$I$5:$I$600,$A69))</f>
        <v/>
      </c>
      <c r="E69" s="6" t="str">
        <f aca="false">IF($A69="","",COUNTIFS('Import InSite'!$I$5:$I$600,$A69))</f>
        <v/>
      </c>
      <c r="F69" s="6" t="str">
        <f aca="false">IF($A69="","",COUNTIFS('Import InSite'!$I$5:$I$600,$A69,'Import InSite'!$E$5:$E$600,"Conteso"))</f>
        <v/>
      </c>
      <c r="G69" s="7"/>
    </row>
    <row r="70" customFormat="false" ht="15" hidden="false" customHeight="false" outlineLevel="0" collapsed="false">
      <c r="A70" s="6"/>
      <c r="B70" s="7"/>
      <c r="C70" s="6"/>
      <c r="D70" s="10" t="str">
        <f aca="false">IF($A70="","",SUMIFS('Import InSite'!$N$5:$N$600,'Import InSite'!$I$5:$I$600,$A70))</f>
        <v/>
      </c>
      <c r="E70" s="6" t="str">
        <f aca="false">IF($A70="","",COUNTIFS('Import InSite'!$I$5:$I$600,$A70))</f>
        <v/>
      </c>
      <c r="F70" s="6" t="str">
        <f aca="false">IF($A70="","",COUNTIFS('Import InSite'!$I$5:$I$600,$A70,'Import InSite'!$E$5:$E$600,"Conteso"))</f>
        <v/>
      </c>
      <c r="G70" s="7"/>
    </row>
    <row r="71" customFormat="false" ht="15" hidden="false" customHeight="false" outlineLevel="0" collapsed="false">
      <c r="A71" s="6"/>
      <c r="B71" s="7"/>
      <c r="C71" s="6"/>
      <c r="D71" s="10" t="str">
        <f aca="false">IF($A71="","",SUMIFS('Import InSite'!$N$5:$N$600,'Import InSite'!$I$5:$I$600,$A71))</f>
        <v/>
      </c>
      <c r="E71" s="6" t="str">
        <f aca="false">IF($A71="","",COUNTIFS('Import InSite'!$I$5:$I$600,$A71))</f>
        <v/>
      </c>
      <c r="F71" s="6" t="str">
        <f aca="false">IF($A71="","",COUNTIFS('Import InSite'!$I$5:$I$600,$A71,'Import InSite'!$E$5:$E$600,"Conteso"))</f>
        <v/>
      </c>
      <c r="G71" s="7"/>
    </row>
    <row r="72" customFormat="false" ht="15" hidden="false" customHeight="false" outlineLevel="0" collapsed="false">
      <c r="A72" s="6"/>
      <c r="B72" s="7"/>
      <c r="C72" s="6"/>
      <c r="D72" s="10" t="str">
        <f aca="false">IF($A72="","",SUMIFS('Import InSite'!$N$5:$N$600,'Import InSite'!$I$5:$I$600,$A72))</f>
        <v/>
      </c>
      <c r="E72" s="6" t="str">
        <f aca="false">IF($A72="","",COUNTIFS('Import InSite'!$I$5:$I$600,$A72))</f>
        <v/>
      </c>
      <c r="F72" s="6" t="str">
        <f aca="false">IF($A72="","",COUNTIFS('Import InSite'!$I$5:$I$600,$A72,'Import InSite'!$E$5:$E$600,"Conteso"))</f>
        <v/>
      </c>
      <c r="G72" s="7"/>
    </row>
    <row r="73" customFormat="false" ht="15" hidden="false" customHeight="false" outlineLevel="0" collapsed="false">
      <c r="A73" s="6"/>
      <c r="B73" s="7"/>
      <c r="C73" s="6"/>
      <c r="D73" s="10" t="str">
        <f aca="false">IF($A73="","",SUMIFS('Import InSite'!$N$5:$N$600,'Import InSite'!$I$5:$I$600,$A73))</f>
        <v/>
      </c>
      <c r="E73" s="6" t="str">
        <f aca="false">IF($A73="","",COUNTIFS('Import InSite'!$I$5:$I$600,$A73))</f>
        <v/>
      </c>
      <c r="F73" s="6" t="str">
        <f aca="false">IF($A73="","",COUNTIFS('Import InSite'!$I$5:$I$600,$A73,'Import InSite'!$E$5:$E$600,"Conteso"))</f>
        <v/>
      </c>
      <c r="G73" s="7"/>
    </row>
    <row r="74" customFormat="false" ht="15" hidden="false" customHeight="false" outlineLevel="0" collapsed="false">
      <c r="A74" s="6"/>
      <c r="B74" s="7"/>
      <c r="C74" s="6"/>
      <c r="D74" s="10" t="str">
        <f aca="false">IF($A74="","",SUMIFS('Import InSite'!$N$5:$N$600,'Import InSite'!$I$5:$I$600,$A74))</f>
        <v/>
      </c>
      <c r="E74" s="6" t="str">
        <f aca="false">IF($A74="","",COUNTIFS('Import InSite'!$I$5:$I$600,$A74))</f>
        <v/>
      </c>
      <c r="F74" s="6" t="str">
        <f aca="false">IF($A74="","",COUNTIFS('Import InSite'!$I$5:$I$600,$A74,'Import InSite'!$E$5:$E$600,"Conteso"))</f>
        <v/>
      </c>
      <c r="G74" s="7"/>
    </row>
    <row r="75" customFormat="false" ht="15" hidden="false" customHeight="false" outlineLevel="0" collapsed="false">
      <c r="A75" s="6"/>
      <c r="B75" s="7"/>
      <c r="C75" s="6"/>
      <c r="D75" s="10" t="str">
        <f aca="false">IF($A75="","",SUMIFS('Import InSite'!$N$5:$N$600,'Import InSite'!$I$5:$I$600,$A75))</f>
        <v/>
      </c>
      <c r="E75" s="6" t="str">
        <f aca="false">IF($A75="","",COUNTIFS('Import InSite'!$I$5:$I$600,$A75))</f>
        <v/>
      </c>
      <c r="F75" s="6" t="str">
        <f aca="false">IF($A75="","",COUNTIFS('Import InSite'!$I$5:$I$600,$A75,'Import InSite'!$E$5:$E$600,"Conteso"))</f>
        <v/>
      </c>
      <c r="G75" s="7"/>
    </row>
    <row r="76" customFormat="false" ht="15" hidden="false" customHeight="false" outlineLevel="0" collapsed="false">
      <c r="A76" s="6"/>
      <c r="B76" s="7"/>
      <c r="C76" s="6"/>
      <c r="D76" s="10" t="str">
        <f aca="false">IF($A76="","",SUMIFS('Import InSite'!$N$5:$N$600,'Import InSite'!$I$5:$I$600,$A76))</f>
        <v/>
      </c>
      <c r="E76" s="6" t="str">
        <f aca="false">IF($A76="","",COUNTIFS('Import InSite'!$I$5:$I$600,$A76))</f>
        <v/>
      </c>
      <c r="F76" s="6" t="str">
        <f aca="false">IF($A76="","",COUNTIFS('Import InSite'!$I$5:$I$600,$A76,'Import InSite'!$E$5:$E$600,"Conteso"))</f>
        <v/>
      </c>
      <c r="G76" s="7"/>
    </row>
    <row r="77" customFormat="false" ht="15" hidden="false" customHeight="false" outlineLevel="0" collapsed="false">
      <c r="A77" s="6"/>
      <c r="B77" s="7"/>
      <c r="C77" s="6"/>
      <c r="D77" s="10" t="str">
        <f aca="false">IF($A77="","",SUMIFS('Import InSite'!$N$5:$N$600,'Import InSite'!$I$5:$I$600,$A77))</f>
        <v/>
      </c>
      <c r="E77" s="6" t="str">
        <f aca="false">IF($A77="","",COUNTIFS('Import InSite'!$I$5:$I$600,$A77))</f>
        <v/>
      </c>
      <c r="F77" s="6" t="str">
        <f aca="false">IF($A77="","",COUNTIFS('Import InSite'!$I$5:$I$600,$A77,'Import InSite'!$E$5:$E$600,"Conteso"))</f>
        <v/>
      </c>
      <c r="G77" s="7"/>
    </row>
    <row r="78" customFormat="false" ht="15" hidden="false" customHeight="false" outlineLevel="0" collapsed="false">
      <c r="A78" s="6"/>
      <c r="B78" s="7"/>
      <c r="C78" s="6"/>
      <c r="D78" s="10" t="str">
        <f aca="false">IF($A78="","",SUMIFS('Import InSite'!$N$5:$N$600,'Import InSite'!$I$5:$I$600,$A78))</f>
        <v/>
      </c>
      <c r="E78" s="6" t="str">
        <f aca="false">IF($A78="","",COUNTIFS('Import InSite'!$I$5:$I$600,$A78))</f>
        <v/>
      </c>
      <c r="F78" s="6" t="str">
        <f aca="false">IF($A78="","",COUNTIFS('Import InSite'!$I$5:$I$600,$A78,'Import InSite'!$E$5:$E$600,"Conteso"))</f>
        <v/>
      </c>
      <c r="G78" s="7"/>
    </row>
    <row r="79" customFormat="false" ht="15" hidden="false" customHeight="false" outlineLevel="0" collapsed="false">
      <c r="A79" s="6"/>
      <c r="B79" s="7"/>
      <c r="C79" s="6"/>
      <c r="D79" s="10" t="str">
        <f aca="false">IF($A79="","",SUMIFS('Import InSite'!$N$5:$N$600,'Import InSite'!$I$5:$I$600,$A79))</f>
        <v/>
      </c>
      <c r="E79" s="6" t="str">
        <f aca="false">IF($A79="","",COUNTIFS('Import InSite'!$I$5:$I$600,$A79))</f>
        <v/>
      </c>
      <c r="F79" s="6" t="str">
        <f aca="false">IF($A79="","",COUNTIFS('Import InSite'!$I$5:$I$600,$A79,'Import InSite'!$E$5:$E$600,"Conteso"))</f>
        <v/>
      </c>
      <c r="G79" s="7"/>
    </row>
    <row r="80" customFormat="false" ht="15" hidden="false" customHeight="false" outlineLevel="0" collapsed="false">
      <c r="A80" s="6"/>
      <c r="B80" s="7"/>
      <c r="C80" s="6"/>
      <c r="D80" s="10" t="str">
        <f aca="false">IF($A80="","",SUMIFS('Import InSite'!$N$5:$N$600,'Import InSite'!$I$5:$I$600,$A80))</f>
        <v/>
      </c>
      <c r="E80" s="6" t="str">
        <f aca="false">IF($A80="","",COUNTIFS('Import InSite'!$I$5:$I$600,$A80))</f>
        <v/>
      </c>
      <c r="F80" s="6" t="str">
        <f aca="false">IF($A80="","",COUNTIFS('Import InSite'!$I$5:$I$600,$A80,'Import InSite'!$E$5:$E$600,"Conteso"))</f>
        <v/>
      </c>
      <c r="G80" s="7"/>
    </row>
    <row r="81" customFormat="false" ht="15" hidden="false" customHeight="false" outlineLevel="0" collapsed="false">
      <c r="A81" s="6"/>
      <c r="B81" s="7"/>
      <c r="C81" s="6"/>
      <c r="D81" s="10" t="str">
        <f aca="false">IF($A81="","",SUMIFS('Import InSite'!$N$5:$N$600,'Import InSite'!$I$5:$I$600,$A81))</f>
        <v/>
      </c>
      <c r="E81" s="6" t="str">
        <f aca="false">IF($A81="","",COUNTIFS('Import InSite'!$I$5:$I$600,$A81))</f>
        <v/>
      </c>
      <c r="F81" s="6" t="str">
        <f aca="false">IF($A81="","",COUNTIFS('Import InSite'!$I$5:$I$600,$A81,'Import InSite'!$E$5:$E$600,"Conteso"))</f>
        <v/>
      </c>
      <c r="G81" s="7"/>
    </row>
    <row r="82" customFormat="false" ht="15" hidden="false" customHeight="false" outlineLevel="0" collapsed="false">
      <c r="A82" s="6"/>
      <c r="B82" s="7"/>
      <c r="C82" s="6"/>
      <c r="D82" s="10" t="str">
        <f aca="false">IF($A82="","",SUMIFS('Import InSite'!$N$5:$N$600,'Import InSite'!$I$5:$I$600,$A82))</f>
        <v/>
      </c>
      <c r="E82" s="6" t="str">
        <f aca="false">IF($A82="","",COUNTIFS('Import InSite'!$I$5:$I$600,$A82))</f>
        <v/>
      </c>
      <c r="F82" s="6" t="str">
        <f aca="false">IF($A82="","",COUNTIFS('Import InSite'!$I$5:$I$600,$A82,'Import InSite'!$E$5:$E$600,"Conteso"))</f>
        <v/>
      </c>
      <c r="G82" s="7"/>
    </row>
    <row r="83" customFormat="false" ht="15" hidden="false" customHeight="false" outlineLevel="0" collapsed="false">
      <c r="A83" s="6"/>
      <c r="B83" s="7"/>
      <c r="C83" s="6"/>
      <c r="D83" s="10" t="str">
        <f aca="false">IF($A83="","",SUMIFS('Import InSite'!$N$5:$N$600,'Import InSite'!$I$5:$I$600,$A83))</f>
        <v/>
      </c>
      <c r="E83" s="6" t="str">
        <f aca="false">IF($A83="","",COUNTIFS('Import InSite'!$I$5:$I$600,$A83))</f>
        <v/>
      </c>
      <c r="F83" s="6" t="str">
        <f aca="false">IF($A83="","",COUNTIFS('Import InSite'!$I$5:$I$600,$A83,'Import InSite'!$E$5:$E$600,"Conteso"))</f>
        <v/>
      </c>
      <c r="G83" s="7"/>
    </row>
    <row r="84" customFormat="false" ht="15" hidden="false" customHeight="false" outlineLevel="0" collapsed="false">
      <c r="A84" s="6"/>
      <c r="B84" s="7"/>
      <c r="C84" s="6"/>
      <c r="D84" s="10" t="str">
        <f aca="false">IF($A84="","",SUMIFS('Import InSite'!$N$5:$N$600,'Import InSite'!$I$5:$I$600,$A84))</f>
        <v/>
      </c>
      <c r="E84" s="6" t="str">
        <f aca="false">IF($A84="","",COUNTIFS('Import InSite'!$I$5:$I$600,$A84))</f>
        <v/>
      </c>
      <c r="F84" s="6" t="str">
        <f aca="false">IF($A84="","",COUNTIFS('Import InSite'!$I$5:$I$600,$A84,'Import InSite'!$E$5:$E$600,"Conteso"))</f>
        <v/>
      </c>
      <c r="G84" s="7"/>
    </row>
    <row r="85" customFormat="false" ht="15" hidden="false" customHeight="false" outlineLevel="0" collapsed="false">
      <c r="A85" s="6"/>
      <c r="B85" s="7"/>
      <c r="C85" s="6"/>
      <c r="D85" s="10" t="str">
        <f aca="false">IF($A85="","",SUMIFS('Import InSite'!$N$5:$N$600,'Import InSite'!$I$5:$I$600,$A85))</f>
        <v/>
      </c>
      <c r="E85" s="6" t="str">
        <f aca="false">IF($A85="","",COUNTIFS('Import InSite'!$I$5:$I$600,$A85))</f>
        <v/>
      </c>
      <c r="F85" s="6" t="str">
        <f aca="false">IF($A85="","",COUNTIFS('Import InSite'!$I$5:$I$600,$A85,'Import InSite'!$E$5:$E$600,"Conteso"))</f>
        <v/>
      </c>
      <c r="G85" s="7"/>
    </row>
    <row r="86" customFormat="false" ht="15" hidden="false" customHeight="false" outlineLevel="0" collapsed="false">
      <c r="A86" s="6"/>
      <c r="B86" s="7"/>
      <c r="C86" s="6"/>
      <c r="D86" s="10" t="str">
        <f aca="false">IF($A86="","",SUMIFS('Import InSite'!$N$5:$N$600,'Import InSite'!$I$5:$I$600,$A86))</f>
        <v/>
      </c>
      <c r="E86" s="6" t="str">
        <f aca="false">IF($A86="","",COUNTIFS('Import InSite'!$I$5:$I$600,$A86))</f>
        <v/>
      </c>
      <c r="F86" s="6" t="str">
        <f aca="false">IF($A86="","",COUNTIFS('Import InSite'!$I$5:$I$600,$A86,'Import InSite'!$E$5:$E$600,"Conteso"))</f>
        <v/>
      </c>
      <c r="G86" s="7"/>
    </row>
    <row r="87" customFormat="false" ht="15" hidden="false" customHeight="false" outlineLevel="0" collapsed="false">
      <c r="A87" s="6"/>
      <c r="B87" s="7"/>
      <c r="C87" s="6"/>
      <c r="D87" s="10" t="str">
        <f aca="false">IF($A87="","",SUMIFS('Import InSite'!$N$5:$N$600,'Import InSite'!$I$5:$I$600,$A87))</f>
        <v/>
      </c>
      <c r="E87" s="6" t="str">
        <f aca="false">IF($A87="","",COUNTIFS('Import InSite'!$I$5:$I$600,$A87))</f>
        <v/>
      </c>
      <c r="F87" s="6" t="str">
        <f aca="false">IF($A87="","",COUNTIFS('Import InSite'!$I$5:$I$600,$A87,'Import InSite'!$E$5:$E$600,"Conteso"))</f>
        <v/>
      </c>
      <c r="G87" s="7"/>
    </row>
    <row r="88" customFormat="false" ht="15" hidden="false" customHeight="false" outlineLevel="0" collapsed="false">
      <c r="A88" s="6"/>
      <c r="B88" s="7"/>
      <c r="C88" s="6"/>
      <c r="D88" s="10" t="str">
        <f aca="false">IF($A88="","",SUMIFS('Import InSite'!$N$5:$N$600,'Import InSite'!$I$5:$I$600,$A88))</f>
        <v/>
      </c>
      <c r="E88" s="6" t="str">
        <f aca="false">IF($A88="","",COUNTIFS('Import InSite'!$I$5:$I$600,$A88))</f>
        <v/>
      </c>
      <c r="F88" s="6" t="str">
        <f aca="false">IF($A88="","",COUNTIFS('Import InSite'!$I$5:$I$600,$A88,'Import InSite'!$E$5:$E$600,"Conteso"))</f>
        <v/>
      </c>
      <c r="G88" s="7"/>
    </row>
    <row r="89" customFormat="false" ht="15" hidden="false" customHeight="false" outlineLevel="0" collapsed="false">
      <c r="A89" s="6"/>
      <c r="B89" s="7"/>
      <c r="C89" s="6"/>
      <c r="D89" s="10" t="str">
        <f aca="false">IF($A89="","",SUMIFS('Import InSite'!$N$5:$N$600,'Import InSite'!$I$5:$I$600,$A89))</f>
        <v/>
      </c>
      <c r="E89" s="6" t="str">
        <f aca="false">IF($A89="","",COUNTIFS('Import InSite'!$I$5:$I$600,$A89))</f>
        <v/>
      </c>
      <c r="F89" s="6" t="str">
        <f aca="false">IF($A89="","",COUNTIFS('Import InSite'!$I$5:$I$600,$A89,'Import InSite'!$E$5:$E$600,"Conteso"))</f>
        <v/>
      </c>
      <c r="G89" s="7"/>
    </row>
    <row r="90" customFormat="false" ht="15" hidden="false" customHeight="false" outlineLevel="0" collapsed="false">
      <c r="A90" s="6"/>
      <c r="B90" s="7"/>
      <c r="C90" s="6"/>
      <c r="D90" s="10" t="str">
        <f aca="false">IF($A90="","",SUMIFS('Import InSite'!$N$5:$N$600,'Import InSite'!$I$5:$I$600,$A90))</f>
        <v/>
      </c>
      <c r="E90" s="6" t="str">
        <f aca="false">IF($A90="","",COUNTIFS('Import InSite'!$I$5:$I$600,$A90))</f>
        <v/>
      </c>
      <c r="F90" s="6" t="str">
        <f aca="false">IF($A90="","",COUNTIFS('Import InSite'!$I$5:$I$600,$A90,'Import InSite'!$E$5:$E$600,"Conteso"))</f>
        <v/>
      </c>
      <c r="G90" s="7"/>
    </row>
    <row r="91" customFormat="false" ht="15" hidden="false" customHeight="false" outlineLevel="0" collapsed="false">
      <c r="A91" s="6"/>
      <c r="B91" s="7"/>
      <c r="C91" s="6"/>
      <c r="D91" s="10" t="str">
        <f aca="false">IF($A91="","",SUMIFS('Import InSite'!$N$5:$N$600,'Import InSite'!$I$5:$I$600,$A91))</f>
        <v/>
      </c>
      <c r="E91" s="6" t="str">
        <f aca="false">IF($A91="","",COUNTIFS('Import InSite'!$I$5:$I$600,$A91))</f>
        <v/>
      </c>
      <c r="F91" s="6" t="str">
        <f aca="false">IF($A91="","",COUNTIFS('Import InSite'!$I$5:$I$600,$A91,'Import InSite'!$E$5:$E$600,"Conteso"))</f>
        <v/>
      </c>
      <c r="G91" s="7"/>
    </row>
    <row r="92" customFormat="false" ht="15" hidden="false" customHeight="false" outlineLevel="0" collapsed="false">
      <c r="A92" s="6"/>
      <c r="B92" s="7"/>
      <c r="C92" s="6"/>
      <c r="D92" s="10" t="str">
        <f aca="false">IF($A92="","",SUMIFS('Import InSite'!$N$5:$N$600,'Import InSite'!$I$5:$I$600,$A92))</f>
        <v/>
      </c>
      <c r="E92" s="6" t="str">
        <f aca="false">IF($A92="","",COUNTIFS('Import InSite'!$I$5:$I$600,$A92))</f>
        <v/>
      </c>
      <c r="F92" s="6" t="str">
        <f aca="false">IF($A92="","",COUNTIFS('Import InSite'!$I$5:$I$600,$A92,'Import InSite'!$E$5:$E$600,"Conteso"))</f>
        <v/>
      </c>
      <c r="G92" s="7"/>
    </row>
    <row r="93" customFormat="false" ht="15" hidden="false" customHeight="false" outlineLevel="0" collapsed="false">
      <c r="A93" s="6"/>
      <c r="B93" s="7"/>
      <c r="C93" s="6"/>
      <c r="D93" s="10" t="str">
        <f aca="false">IF($A93="","",SUMIFS('Import InSite'!$N$5:$N$600,'Import InSite'!$I$5:$I$600,$A93))</f>
        <v/>
      </c>
      <c r="E93" s="6" t="str">
        <f aca="false">IF($A93="","",COUNTIFS('Import InSite'!$I$5:$I$600,$A93))</f>
        <v/>
      </c>
      <c r="F93" s="6" t="str">
        <f aca="false">IF($A93="","",COUNTIFS('Import InSite'!$I$5:$I$600,$A93,'Import InSite'!$E$5:$E$600,"Conteso"))</f>
        <v/>
      </c>
      <c r="G93" s="7"/>
    </row>
    <row r="94" customFormat="false" ht="15" hidden="false" customHeight="false" outlineLevel="0" collapsed="false">
      <c r="A94" s="6"/>
      <c r="B94" s="7"/>
      <c r="C94" s="6"/>
      <c r="D94" s="10" t="str">
        <f aca="false">IF($A94="","",SUMIFS('Import InSite'!$N$5:$N$600,'Import InSite'!$I$5:$I$600,$A94))</f>
        <v/>
      </c>
      <c r="E94" s="6" t="str">
        <f aca="false">IF($A94="","",COUNTIFS('Import InSite'!$I$5:$I$600,$A94))</f>
        <v/>
      </c>
      <c r="F94" s="6" t="str">
        <f aca="false">IF($A94="","",COUNTIFS('Import InSite'!$I$5:$I$600,$A94,'Import InSite'!$E$5:$E$600,"Conteso"))</f>
        <v/>
      </c>
      <c r="G94" s="7"/>
    </row>
    <row r="95" customFormat="false" ht="15" hidden="false" customHeight="false" outlineLevel="0" collapsed="false">
      <c r="A95" s="6"/>
      <c r="B95" s="7"/>
      <c r="C95" s="6"/>
      <c r="D95" s="10" t="str">
        <f aca="false">IF($A95="","",SUMIFS('Import InSite'!$N$5:$N$600,'Import InSite'!$I$5:$I$600,$A95))</f>
        <v/>
      </c>
      <c r="E95" s="6" t="str">
        <f aca="false">IF($A95="","",COUNTIFS('Import InSite'!$I$5:$I$600,$A95))</f>
        <v/>
      </c>
      <c r="F95" s="6" t="str">
        <f aca="false">IF($A95="","",COUNTIFS('Import InSite'!$I$5:$I$600,$A95,'Import InSite'!$E$5:$E$600,"Conteso"))</f>
        <v/>
      </c>
      <c r="G95" s="7"/>
    </row>
    <row r="96" customFormat="false" ht="15" hidden="false" customHeight="false" outlineLevel="0" collapsed="false">
      <c r="A96" s="6"/>
      <c r="B96" s="7"/>
      <c r="C96" s="6"/>
      <c r="D96" s="10" t="str">
        <f aca="false">IF($A96="","",SUMIFS('Import InSite'!$N$5:$N$600,'Import InSite'!$I$5:$I$600,$A96))</f>
        <v/>
      </c>
      <c r="E96" s="6" t="str">
        <f aca="false">IF($A96="","",COUNTIFS('Import InSite'!$I$5:$I$600,$A96))</f>
        <v/>
      </c>
      <c r="F96" s="6" t="str">
        <f aca="false">IF($A96="","",COUNTIFS('Import InSite'!$I$5:$I$600,$A96,'Import InSite'!$E$5:$E$600,"Conteso"))</f>
        <v/>
      </c>
      <c r="G96" s="7"/>
    </row>
    <row r="97" customFormat="false" ht="15" hidden="false" customHeight="false" outlineLevel="0" collapsed="false">
      <c r="A97" s="6"/>
      <c r="B97" s="7"/>
      <c r="C97" s="6"/>
      <c r="D97" s="10" t="str">
        <f aca="false">IF($A97="","",SUMIFS('Import InSite'!$N$5:$N$600,'Import InSite'!$I$5:$I$600,$A97))</f>
        <v/>
      </c>
      <c r="E97" s="6" t="str">
        <f aca="false">IF($A97="","",COUNTIFS('Import InSite'!$I$5:$I$600,$A97))</f>
        <v/>
      </c>
      <c r="F97" s="6" t="str">
        <f aca="false">IF($A97="","",COUNTIFS('Import InSite'!$I$5:$I$600,$A97,'Import InSite'!$E$5:$E$600,"Conteso"))</f>
        <v/>
      </c>
      <c r="G97" s="7"/>
    </row>
    <row r="98" customFormat="false" ht="15" hidden="false" customHeight="false" outlineLevel="0" collapsed="false">
      <c r="A98" s="6"/>
      <c r="B98" s="7"/>
      <c r="C98" s="6"/>
      <c r="D98" s="10" t="str">
        <f aca="false">IF($A98="","",SUMIFS('Import InSite'!$N$5:$N$600,'Import InSite'!$I$5:$I$600,$A98))</f>
        <v/>
      </c>
      <c r="E98" s="6" t="str">
        <f aca="false">IF($A98="","",COUNTIFS('Import InSite'!$I$5:$I$600,$A98))</f>
        <v/>
      </c>
      <c r="F98" s="6" t="str">
        <f aca="false">IF($A98="","",COUNTIFS('Import InSite'!$I$5:$I$600,$A98,'Import InSite'!$E$5:$E$600,"Conteso"))</f>
        <v/>
      </c>
      <c r="G98" s="7"/>
    </row>
    <row r="99" customFormat="false" ht="15" hidden="false" customHeight="false" outlineLevel="0" collapsed="false">
      <c r="A99" s="6"/>
      <c r="B99" s="7"/>
      <c r="C99" s="6"/>
      <c r="D99" s="10" t="str">
        <f aca="false">IF($A99="","",SUMIFS('Import InSite'!$N$5:$N$600,'Import InSite'!$I$5:$I$600,$A99))</f>
        <v/>
      </c>
      <c r="E99" s="6" t="str">
        <f aca="false">IF($A99="","",COUNTIFS('Import InSite'!$I$5:$I$600,$A99))</f>
        <v/>
      </c>
      <c r="F99" s="6" t="str">
        <f aca="false">IF($A99="","",COUNTIFS('Import InSite'!$I$5:$I$600,$A99,'Import InSite'!$E$5:$E$600,"Conteso"))</f>
        <v/>
      </c>
      <c r="G99" s="7"/>
    </row>
    <row r="100" customFormat="false" ht="15" hidden="false" customHeight="false" outlineLevel="0" collapsed="false">
      <c r="A100" s="6"/>
      <c r="B100" s="7"/>
      <c r="C100" s="6"/>
      <c r="D100" s="10" t="str">
        <f aca="false">IF($A100="","",SUMIFS('Import InSite'!$N$5:$N$600,'Import InSite'!$I$5:$I$600,$A100))</f>
        <v/>
      </c>
      <c r="E100" s="6" t="str">
        <f aca="false">IF($A100="","",COUNTIFS('Import InSite'!$I$5:$I$600,$A100))</f>
        <v/>
      </c>
      <c r="F100" s="6" t="str">
        <f aca="false">IF($A100="","",COUNTIFS('Import InSite'!$I$5:$I$600,$A100,'Import InSite'!$E$5:$E$600,"Conteso"))</f>
        <v/>
      </c>
      <c r="G100" s="7"/>
    </row>
    <row r="101" customFormat="false" ht="15" hidden="false" customHeight="false" outlineLevel="0" collapsed="false">
      <c r="A101" s="6"/>
      <c r="B101" s="7"/>
      <c r="C101" s="6"/>
      <c r="D101" s="10" t="str">
        <f aca="false">IF($A101="","",SUMIFS('Import InSite'!$N$5:$N$600,'Import InSite'!$I$5:$I$600,$A101))</f>
        <v/>
      </c>
      <c r="E101" s="6" t="str">
        <f aca="false">IF($A101="","",COUNTIFS('Import InSite'!$I$5:$I$600,$A101))</f>
        <v/>
      </c>
      <c r="F101" s="6" t="str">
        <f aca="false">IF($A101="","",COUNTIFS('Import InSite'!$I$5:$I$600,$A101,'Import InSite'!$E$5:$E$600,"Conteso"))</f>
        <v/>
      </c>
      <c r="G101" s="7"/>
    </row>
    <row r="102" customFormat="false" ht="15" hidden="false" customHeight="false" outlineLevel="0" collapsed="false">
      <c r="A102" s="6"/>
      <c r="B102" s="7"/>
      <c r="C102" s="6"/>
      <c r="D102" s="10" t="str">
        <f aca="false">IF($A102="","",SUMIFS('Import InSite'!$N$5:$N$600,'Import InSite'!$I$5:$I$600,$A102))</f>
        <v/>
      </c>
      <c r="E102" s="6" t="str">
        <f aca="false">IF($A102="","",COUNTIFS('Import InSite'!$I$5:$I$600,$A102))</f>
        <v/>
      </c>
      <c r="F102" s="6" t="str">
        <f aca="false">IF($A102="","",COUNTIFS('Import InSite'!$I$5:$I$600,$A102,'Import InSite'!$E$5:$E$600,"Conteso"))</f>
        <v/>
      </c>
      <c r="G102" s="7"/>
    </row>
    <row r="103" customFormat="false" ht="15" hidden="false" customHeight="false" outlineLevel="0" collapsed="false">
      <c r="A103" s="6"/>
      <c r="B103" s="7"/>
      <c r="C103" s="6"/>
      <c r="D103" s="10" t="str">
        <f aca="false">IF($A103="","",SUMIFS('Import InSite'!$N$5:$N$600,'Import InSite'!$I$5:$I$600,$A103))</f>
        <v/>
      </c>
      <c r="E103" s="6" t="str">
        <f aca="false">IF($A103="","",COUNTIFS('Import InSite'!$I$5:$I$600,$A103))</f>
        <v/>
      </c>
      <c r="F103" s="6" t="str">
        <f aca="false">IF($A103="","",COUNTIFS('Import InSite'!$I$5:$I$600,$A103,'Import InSite'!$E$5:$E$600,"Conteso"))</f>
        <v/>
      </c>
      <c r="G103" s="7"/>
    </row>
    <row r="104" customFormat="false" ht="15" hidden="false" customHeight="false" outlineLevel="0" collapsed="false">
      <c r="A104" s="6"/>
      <c r="B104" s="7"/>
      <c r="C104" s="6"/>
      <c r="D104" s="10" t="str">
        <f aca="false">IF($A104="","",SUMIFS('Import InSite'!$N$5:$N$600,'Import InSite'!$I$5:$I$600,$A104))</f>
        <v/>
      </c>
      <c r="E104" s="6" t="str">
        <f aca="false">IF($A104="","",COUNTIFS('Import InSite'!$I$5:$I$600,$A104))</f>
        <v/>
      </c>
      <c r="F104" s="6" t="str">
        <f aca="false">IF($A104="","",COUNTIFS('Import InSite'!$I$5:$I$600,$A104,'Import InSite'!$E$5:$E$600,"Conteso"))</f>
        <v/>
      </c>
      <c r="G104" s="7"/>
    </row>
    <row r="105" customFormat="false" ht="15" hidden="false" customHeight="false" outlineLevel="0" collapsed="false">
      <c r="A105" s="6"/>
      <c r="B105" s="7"/>
      <c r="C105" s="6"/>
      <c r="D105" s="10" t="str">
        <f aca="false">IF($A105="","",SUMIFS('Import InSite'!$N$5:$N$600,'Import InSite'!$I$5:$I$600,$A105))</f>
        <v/>
      </c>
      <c r="E105" s="6" t="str">
        <f aca="false">IF($A105="","",COUNTIFS('Import InSite'!$I$5:$I$600,$A105))</f>
        <v/>
      </c>
      <c r="F105" s="6" t="str">
        <f aca="false">IF($A105="","",COUNTIFS('Import InSite'!$I$5:$I$600,$A105,'Import InSite'!$E$5:$E$600,"Conteso"))</f>
        <v/>
      </c>
      <c r="G105" s="7"/>
    </row>
    <row r="106" customFormat="false" ht="15" hidden="false" customHeight="false" outlineLevel="0" collapsed="false">
      <c r="A106" s="6"/>
      <c r="B106" s="7"/>
      <c r="C106" s="6"/>
      <c r="D106" s="10" t="str">
        <f aca="false">IF($A106="","",SUMIFS('Import InSite'!$N$5:$N$600,'Import InSite'!$I$5:$I$600,$A106))</f>
        <v/>
      </c>
      <c r="E106" s="6" t="str">
        <f aca="false">IF($A106="","",COUNTIFS('Import InSite'!$I$5:$I$600,$A106))</f>
        <v/>
      </c>
      <c r="F106" s="6" t="str">
        <f aca="false">IF($A106="","",COUNTIFS('Import InSite'!$I$5:$I$600,$A106,'Import InSite'!$E$5:$E$600,"Conteso"))</f>
        <v/>
      </c>
      <c r="G106" s="7"/>
    </row>
    <row r="107" customFormat="false" ht="15" hidden="false" customHeight="false" outlineLevel="0" collapsed="false">
      <c r="A107" s="6"/>
      <c r="B107" s="7"/>
      <c r="C107" s="6"/>
      <c r="D107" s="10" t="str">
        <f aca="false">IF($A107="","",SUMIFS('Import InSite'!$N$5:$N$600,'Import InSite'!$I$5:$I$600,$A107))</f>
        <v/>
      </c>
      <c r="E107" s="6" t="str">
        <f aca="false">IF($A107="","",COUNTIFS('Import InSite'!$I$5:$I$600,$A107))</f>
        <v/>
      </c>
      <c r="F107" s="6" t="str">
        <f aca="false">IF($A107="","",COUNTIFS('Import InSite'!$I$5:$I$600,$A107,'Import InSite'!$E$5:$E$600,"Conteso"))</f>
        <v/>
      </c>
      <c r="G107" s="7"/>
    </row>
    <row r="108" customFormat="false" ht="15" hidden="false" customHeight="false" outlineLevel="0" collapsed="false">
      <c r="A108" s="6"/>
      <c r="B108" s="7"/>
      <c r="C108" s="6"/>
      <c r="D108" s="10" t="str">
        <f aca="false">IF($A108="","",SUMIFS('Import InSite'!$N$5:$N$600,'Import InSite'!$I$5:$I$600,$A108))</f>
        <v/>
      </c>
      <c r="E108" s="6" t="str">
        <f aca="false">IF($A108="","",COUNTIFS('Import InSite'!$I$5:$I$600,$A108))</f>
        <v/>
      </c>
      <c r="F108" s="6" t="str">
        <f aca="false">IF($A108="","",COUNTIFS('Import InSite'!$I$5:$I$600,$A108,'Import InSite'!$E$5:$E$600,"Conteso"))</f>
        <v/>
      </c>
      <c r="G108" s="7"/>
    </row>
    <row r="109" customFormat="false" ht="15" hidden="false" customHeight="false" outlineLevel="0" collapsed="false">
      <c r="A109" s="6"/>
      <c r="B109" s="7"/>
      <c r="C109" s="6"/>
      <c r="D109" s="10" t="str">
        <f aca="false">IF($A109="","",SUMIFS('Import InSite'!$N$5:$N$600,'Import InSite'!$I$5:$I$600,$A109))</f>
        <v/>
      </c>
      <c r="E109" s="6" t="str">
        <f aca="false">IF($A109="","",COUNTIFS('Import InSite'!$I$5:$I$600,$A109))</f>
        <v/>
      </c>
      <c r="F109" s="6" t="str">
        <f aca="false">IF($A109="","",COUNTIFS('Import InSite'!$I$5:$I$600,$A109,'Import InSite'!$E$5:$E$600,"Conteso"))</f>
        <v/>
      </c>
      <c r="G109" s="7"/>
    </row>
    <row r="110" customFormat="false" ht="15" hidden="false" customHeight="false" outlineLevel="0" collapsed="false">
      <c r="A110" s="6"/>
      <c r="B110" s="7"/>
      <c r="C110" s="6"/>
      <c r="D110" s="10" t="str">
        <f aca="false">IF($A110="","",SUMIFS('Import InSite'!$N$5:$N$600,'Import InSite'!$I$5:$I$600,$A110))</f>
        <v/>
      </c>
      <c r="E110" s="6" t="str">
        <f aca="false">IF($A110="","",COUNTIFS('Import InSite'!$I$5:$I$600,$A110))</f>
        <v/>
      </c>
      <c r="F110" s="6" t="str">
        <f aca="false">IF($A110="","",COUNTIFS('Import InSite'!$I$5:$I$600,$A110,'Import InSite'!$E$5:$E$600,"Conteso"))</f>
        <v/>
      </c>
      <c r="G110" s="7"/>
    </row>
    <row r="111" customFormat="false" ht="15" hidden="false" customHeight="false" outlineLevel="0" collapsed="false">
      <c r="A111" s="6"/>
      <c r="B111" s="7"/>
      <c r="C111" s="6"/>
      <c r="D111" s="10" t="str">
        <f aca="false">IF($A111="","",SUMIFS('Import InSite'!$N$5:$N$600,'Import InSite'!$I$5:$I$600,$A111))</f>
        <v/>
      </c>
      <c r="E111" s="6" t="str">
        <f aca="false">IF($A111="","",COUNTIFS('Import InSite'!$I$5:$I$600,$A111))</f>
        <v/>
      </c>
      <c r="F111" s="6" t="str">
        <f aca="false">IF($A111="","",COUNTIFS('Import InSite'!$I$5:$I$600,$A111,'Import InSite'!$E$5:$E$600,"Conteso"))</f>
        <v/>
      </c>
      <c r="G111" s="7"/>
    </row>
    <row r="112" customFormat="false" ht="15" hidden="false" customHeight="false" outlineLevel="0" collapsed="false">
      <c r="A112" s="6"/>
      <c r="B112" s="7"/>
      <c r="C112" s="6"/>
      <c r="D112" s="10" t="str">
        <f aca="false">IF($A112="","",SUMIFS('Import InSite'!$N$5:$N$600,'Import InSite'!$I$5:$I$600,$A112))</f>
        <v/>
      </c>
      <c r="E112" s="6" t="str">
        <f aca="false">IF($A112="","",COUNTIFS('Import InSite'!$I$5:$I$600,$A112))</f>
        <v/>
      </c>
      <c r="F112" s="6" t="str">
        <f aca="false">IF($A112="","",COUNTIFS('Import InSite'!$I$5:$I$600,$A112,'Import InSite'!$E$5:$E$600,"Conteso"))</f>
        <v/>
      </c>
      <c r="G112" s="7"/>
    </row>
    <row r="113" customFormat="false" ht="15" hidden="false" customHeight="false" outlineLevel="0" collapsed="false">
      <c r="A113" s="6"/>
      <c r="B113" s="7"/>
      <c r="C113" s="6"/>
      <c r="D113" s="10" t="str">
        <f aca="false">IF($A113="","",SUMIFS('Import InSite'!$N$5:$N$600,'Import InSite'!$I$5:$I$600,$A113))</f>
        <v/>
      </c>
      <c r="E113" s="6" t="str">
        <f aca="false">IF($A113="","",COUNTIFS('Import InSite'!$I$5:$I$600,$A113))</f>
        <v/>
      </c>
      <c r="F113" s="6" t="str">
        <f aca="false">IF($A113="","",COUNTIFS('Import InSite'!$I$5:$I$600,$A113,'Import InSite'!$E$5:$E$600,"Conteso"))</f>
        <v/>
      </c>
      <c r="G113" s="7"/>
    </row>
    <row r="114" customFormat="false" ht="15" hidden="false" customHeight="false" outlineLevel="0" collapsed="false">
      <c r="A114" s="6"/>
      <c r="B114" s="7"/>
      <c r="C114" s="6"/>
      <c r="D114" s="10" t="str">
        <f aca="false">IF($A114="","",SUMIFS('Import InSite'!$N$5:$N$600,'Import InSite'!$I$5:$I$600,$A114))</f>
        <v/>
      </c>
      <c r="E114" s="6" t="str">
        <f aca="false">IF($A114="","",COUNTIFS('Import InSite'!$I$5:$I$600,$A114))</f>
        <v/>
      </c>
      <c r="F114" s="6" t="str">
        <f aca="false">IF($A114="","",COUNTIFS('Import InSite'!$I$5:$I$600,$A114,'Import InSite'!$E$5:$E$600,"Conteso"))</f>
        <v/>
      </c>
      <c r="G114" s="7"/>
    </row>
    <row r="115" customFormat="false" ht="15" hidden="false" customHeight="false" outlineLevel="0" collapsed="false">
      <c r="A115" s="6"/>
      <c r="B115" s="7"/>
      <c r="C115" s="6"/>
      <c r="D115" s="10" t="str">
        <f aca="false">IF($A115="","",SUMIFS('Import InSite'!$N$5:$N$600,'Import InSite'!$I$5:$I$600,$A115))</f>
        <v/>
      </c>
      <c r="E115" s="6" t="str">
        <f aca="false">IF($A115="","",COUNTIFS('Import InSite'!$I$5:$I$600,$A115))</f>
        <v/>
      </c>
      <c r="F115" s="6" t="str">
        <f aca="false">IF($A115="","",COUNTIFS('Import InSite'!$I$5:$I$600,$A115,'Import InSite'!$E$5:$E$600,"Conteso"))</f>
        <v/>
      </c>
      <c r="G115" s="7"/>
    </row>
    <row r="116" customFormat="false" ht="15" hidden="false" customHeight="false" outlineLevel="0" collapsed="false">
      <c r="A116" s="6"/>
      <c r="B116" s="7"/>
      <c r="C116" s="6"/>
      <c r="D116" s="10" t="str">
        <f aca="false">IF($A116="","",SUMIFS('Import InSite'!$N$5:$N$600,'Import InSite'!$I$5:$I$600,$A116))</f>
        <v/>
      </c>
      <c r="E116" s="6" t="str">
        <f aca="false">IF($A116="","",COUNTIFS('Import InSite'!$I$5:$I$600,$A116))</f>
        <v/>
      </c>
      <c r="F116" s="6" t="str">
        <f aca="false">IF($A116="","",COUNTIFS('Import InSite'!$I$5:$I$600,$A116,'Import InSite'!$E$5:$E$600,"Conteso"))</f>
        <v/>
      </c>
      <c r="G116" s="7"/>
    </row>
    <row r="117" customFormat="false" ht="15" hidden="false" customHeight="false" outlineLevel="0" collapsed="false">
      <c r="A117" s="6"/>
      <c r="B117" s="7"/>
      <c r="C117" s="6"/>
      <c r="D117" s="10" t="str">
        <f aca="false">IF($A117="","",SUMIFS('Import InSite'!$N$5:$N$600,'Import InSite'!$I$5:$I$600,$A117))</f>
        <v/>
      </c>
      <c r="E117" s="6" t="str">
        <f aca="false">IF($A117="","",COUNTIFS('Import InSite'!$I$5:$I$600,$A117))</f>
        <v/>
      </c>
      <c r="F117" s="6" t="str">
        <f aca="false">IF($A117="","",COUNTIFS('Import InSite'!$I$5:$I$600,$A117,'Import InSite'!$E$5:$E$600,"Conteso"))</f>
        <v/>
      </c>
      <c r="G117" s="7"/>
    </row>
    <row r="118" customFormat="false" ht="15" hidden="false" customHeight="false" outlineLevel="0" collapsed="false">
      <c r="A118" s="6"/>
      <c r="B118" s="7"/>
      <c r="C118" s="6"/>
      <c r="D118" s="10" t="str">
        <f aca="false">IF($A118="","",SUMIFS('Import InSite'!$N$5:$N$600,'Import InSite'!$I$5:$I$600,$A118))</f>
        <v/>
      </c>
      <c r="E118" s="6" t="str">
        <f aca="false">IF($A118="","",COUNTIFS('Import InSite'!$I$5:$I$600,$A118))</f>
        <v/>
      </c>
      <c r="F118" s="6" t="str">
        <f aca="false">IF($A118="","",COUNTIFS('Import InSite'!$I$5:$I$600,$A118,'Import InSite'!$E$5:$E$600,"Conteso"))</f>
        <v/>
      </c>
      <c r="G118" s="7"/>
    </row>
    <row r="119" customFormat="false" ht="15" hidden="false" customHeight="false" outlineLevel="0" collapsed="false">
      <c r="A119" s="6"/>
      <c r="B119" s="7"/>
      <c r="C119" s="6"/>
      <c r="D119" s="10" t="str">
        <f aca="false">IF($A119="","",SUMIFS('Import InSite'!$N$5:$N$600,'Import InSite'!$I$5:$I$600,$A119))</f>
        <v/>
      </c>
      <c r="E119" s="6" t="str">
        <f aca="false">IF($A119="","",COUNTIFS('Import InSite'!$I$5:$I$600,$A119))</f>
        <v/>
      </c>
      <c r="F119" s="6" t="str">
        <f aca="false">IF($A119="","",COUNTIFS('Import InSite'!$I$5:$I$600,$A119,'Import InSite'!$E$5:$E$600,"Conteso"))</f>
        <v/>
      </c>
      <c r="G119" s="7"/>
    </row>
    <row r="120" customFormat="false" ht="15" hidden="false" customHeight="false" outlineLevel="0" collapsed="false">
      <c r="A120" s="6"/>
      <c r="B120" s="7"/>
      <c r="C120" s="6"/>
      <c r="D120" s="10" t="str">
        <f aca="false">IF($A120="","",SUMIFS('Import InSite'!$N$5:$N$600,'Import InSite'!$I$5:$I$600,$A120))</f>
        <v/>
      </c>
      <c r="E120" s="6" t="str">
        <f aca="false">IF($A120="","",COUNTIFS('Import InSite'!$I$5:$I$600,$A120))</f>
        <v/>
      </c>
      <c r="F120" s="6" t="str">
        <f aca="false">IF($A120="","",COUNTIFS('Import InSite'!$I$5:$I$600,$A120,'Import InSite'!$E$5:$E$600,"Conteso"))</f>
        <v/>
      </c>
      <c r="G120" s="7"/>
    </row>
    <row r="121" customFormat="false" ht="15" hidden="false" customHeight="false" outlineLevel="0" collapsed="false">
      <c r="A121" s="6"/>
      <c r="B121" s="7"/>
      <c r="C121" s="6"/>
      <c r="D121" s="10" t="str">
        <f aca="false">IF($A121="","",SUMIFS('Import InSite'!$N$5:$N$600,'Import InSite'!$I$5:$I$600,$A121))</f>
        <v/>
      </c>
      <c r="E121" s="6" t="str">
        <f aca="false">IF($A121="","",COUNTIFS('Import InSite'!$I$5:$I$600,$A121))</f>
        <v/>
      </c>
      <c r="F121" s="6" t="str">
        <f aca="false">IF($A121="","",COUNTIFS('Import InSite'!$I$5:$I$600,$A121,'Import InSite'!$E$5:$E$600,"Conteso"))</f>
        <v/>
      </c>
      <c r="G121" s="7"/>
    </row>
    <row r="122" customFormat="false" ht="15" hidden="false" customHeight="false" outlineLevel="0" collapsed="false">
      <c r="A122" s="6"/>
      <c r="B122" s="7"/>
      <c r="C122" s="6"/>
      <c r="D122" s="10" t="str">
        <f aca="false">IF($A122="","",SUMIFS('Import InSite'!$N$5:$N$600,'Import InSite'!$I$5:$I$600,$A122))</f>
        <v/>
      </c>
      <c r="E122" s="6" t="str">
        <f aca="false">IF($A122="","",COUNTIFS('Import InSite'!$I$5:$I$600,$A122))</f>
        <v/>
      </c>
      <c r="F122" s="6" t="str">
        <f aca="false">IF($A122="","",COUNTIFS('Import InSite'!$I$5:$I$600,$A122,'Import InSite'!$E$5:$E$600,"Conteso"))</f>
        <v/>
      </c>
      <c r="G122" s="7"/>
    </row>
    <row r="123" customFormat="false" ht="15" hidden="false" customHeight="false" outlineLevel="0" collapsed="false">
      <c r="A123" s="6"/>
      <c r="B123" s="7"/>
      <c r="C123" s="6"/>
      <c r="D123" s="10" t="str">
        <f aca="false">IF($A123="","",SUMIFS('Import InSite'!$N$5:$N$600,'Import InSite'!$I$5:$I$600,$A123))</f>
        <v/>
      </c>
      <c r="E123" s="6" t="str">
        <f aca="false">IF($A123="","",COUNTIFS('Import InSite'!$I$5:$I$600,$A123))</f>
        <v/>
      </c>
      <c r="F123" s="6" t="str">
        <f aca="false">IF($A123="","",COUNTIFS('Import InSite'!$I$5:$I$600,$A123,'Import InSite'!$E$5:$E$600,"Conteso"))</f>
        <v/>
      </c>
      <c r="G123" s="7"/>
    </row>
    <row r="124" customFormat="false" ht="15" hidden="false" customHeight="false" outlineLevel="0" collapsed="false">
      <c r="A124" s="6"/>
      <c r="B124" s="7"/>
      <c r="C124" s="6"/>
      <c r="D124" s="10" t="str">
        <f aca="false">IF($A124="","",SUMIFS('Import InSite'!$N$5:$N$600,'Import InSite'!$I$5:$I$600,$A124))</f>
        <v/>
      </c>
      <c r="E124" s="6" t="str">
        <f aca="false">IF($A124="","",COUNTIFS('Import InSite'!$I$5:$I$600,$A124))</f>
        <v/>
      </c>
      <c r="F124" s="6" t="str">
        <f aca="false">IF($A124="","",COUNTIFS('Import InSite'!$I$5:$I$600,$A124,'Import InSite'!$E$5:$E$600,"Conteso"))</f>
        <v/>
      </c>
      <c r="G124" s="7"/>
    </row>
    <row r="125" customFormat="false" ht="15" hidden="false" customHeight="false" outlineLevel="0" collapsed="false">
      <c r="A125" s="6"/>
      <c r="B125" s="7"/>
      <c r="C125" s="6"/>
      <c r="D125" s="10" t="str">
        <f aca="false">IF($A125="","",SUMIFS('Import InSite'!$N$5:$N$600,'Import InSite'!$I$5:$I$600,$A125))</f>
        <v/>
      </c>
      <c r="E125" s="6" t="str">
        <f aca="false">IF($A125="","",COUNTIFS('Import InSite'!$I$5:$I$600,$A125))</f>
        <v/>
      </c>
      <c r="F125" s="6" t="str">
        <f aca="false">IF($A125="","",COUNTIFS('Import InSite'!$I$5:$I$600,$A125,'Import InSite'!$E$5:$E$600,"Conteso"))</f>
        <v/>
      </c>
      <c r="G125" s="7"/>
    </row>
    <row r="126" customFormat="false" ht="15" hidden="false" customHeight="false" outlineLevel="0" collapsed="false">
      <c r="A126" s="6"/>
      <c r="B126" s="7"/>
      <c r="C126" s="6"/>
      <c r="D126" s="10" t="str">
        <f aca="false">IF($A126="","",SUMIFS('Import InSite'!$N$5:$N$600,'Import InSite'!$I$5:$I$600,$A126))</f>
        <v/>
      </c>
      <c r="E126" s="6" t="str">
        <f aca="false">IF($A126="","",COUNTIFS('Import InSite'!$I$5:$I$600,$A126))</f>
        <v/>
      </c>
      <c r="F126" s="6" t="str">
        <f aca="false">IF($A126="","",COUNTIFS('Import InSite'!$I$5:$I$600,$A126,'Import InSite'!$E$5:$E$600,"Conteso"))</f>
        <v/>
      </c>
      <c r="G126" s="7"/>
    </row>
    <row r="127" customFormat="false" ht="15" hidden="false" customHeight="false" outlineLevel="0" collapsed="false">
      <c r="A127" s="6"/>
      <c r="B127" s="7"/>
      <c r="C127" s="6"/>
      <c r="D127" s="10" t="str">
        <f aca="false">IF($A127="","",SUMIFS('Import InSite'!$N$5:$N$600,'Import InSite'!$I$5:$I$600,$A127))</f>
        <v/>
      </c>
      <c r="E127" s="6" t="str">
        <f aca="false">IF($A127="","",COUNTIFS('Import InSite'!$I$5:$I$600,$A127))</f>
        <v/>
      </c>
      <c r="F127" s="6" t="str">
        <f aca="false">IF($A127="","",COUNTIFS('Import InSite'!$I$5:$I$600,$A127,'Import InSite'!$E$5:$E$600,"Conteso"))</f>
        <v/>
      </c>
      <c r="G127" s="7"/>
    </row>
    <row r="128" customFormat="false" ht="15" hidden="false" customHeight="false" outlineLevel="0" collapsed="false">
      <c r="A128" s="6"/>
      <c r="B128" s="7"/>
      <c r="C128" s="6"/>
      <c r="D128" s="10" t="str">
        <f aca="false">IF($A128="","",SUMIFS('Import InSite'!$N$5:$N$600,'Import InSite'!$I$5:$I$600,$A128))</f>
        <v/>
      </c>
      <c r="E128" s="6" t="str">
        <f aca="false">IF($A128="","",COUNTIFS('Import InSite'!$I$5:$I$600,$A128))</f>
        <v/>
      </c>
      <c r="F128" s="6" t="str">
        <f aca="false">IF($A128="","",COUNTIFS('Import InSite'!$I$5:$I$600,$A128,'Import InSite'!$E$5:$E$600,"Conteso"))</f>
        <v/>
      </c>
      <c r="G128" s="7"/>
    </row>
    <row r="129" customFormat="false" ht="15" hidden="false" customHeight="false" outlineLevel="0" collapsed="false">
      <c r="A129" s="6"/>
      <c r="B129" s="7"/>
      <c r="C129" s="6"/>
      <c r="D129" s="10" t="str">
        <f aca="false">IF($A129="","",SUMIFS('Import InSite'!$N$5:$N$600,'Import InSite'!$I$5:$I$600,$A129))</f>
        <v/>
      </c>
      <c r="E129" s="6" t="str">
        <f aca="false">IF($A129="","",COUNTIFS('Import InSite'!$I$5:$I$600,$A129))</f>
        <v/>
      </c>
      <c r="F129" s="6" t="str">
        <f aca="false">IF($A129="","",COUNTIFS('Import InSite'!$I$5:$I$600,$A129,'Import InSite'!$E$5:$E$600,"Conteso"))</f>
        <v/>
      </c>
      <c r="G129" s="7"/>
    </row>
    <row r="130" customFormat="false" ht="15" hidden="false" customHeight="false" outlineLevel="0" collapsed="false">
      <c r="A130" s="6"/>
      <c r="B130" s="7"/>
      <c r="C130" s="6"/>
      <c r="D130" s="10" t="str">
        <f aca="false">IF($A130="","",SUMIFS('Import InSite'!$N$5:$N$600,'Import InSite'!$I$5:$I$600,$A130))</f>
        <v/>
      </c>
      <c r="E130" s="6" t="str">
        <f aca="false">IF($A130="","",COUNTIFS('Import InSite'!$I$5:$I$600,$A130))</f>
        <v/>
      </c>
      <c r="F130" s="6" t="str">
        <f aca="false">IF($A130="","",COUNTIFS('Import InSite'!$I$5:$I$600,$A130,'Import InSite'!$E$5:$E$600,"Conteso"))</f>
        <v/>
      </c>
      <c r="G130" s="7"/>
    </row>
    <row r="131" customFormat="false" ht="15" hidden="false" customHeight="false" outlineLevel="0" collapsed="false">
      <c r="A131" s="6"/>
      <c r="B131" s="7"/>
      <c r="C131" s="6"/>
      <c r="D131" s="10" t="str">
        <f aca="false">IF($A131="","",SUMIFS('Import InSite'!$N$5:$N$600,'Import InSite'!$I$5:$I$600,$A131))</f>
        <v/>
      </c>
      <c r="E131" s="6" t="str">
        <f aca="false">IF($A131="","",COUNTIFS('Import InSite'!$I$5:$I$600,$A131))</f>
        <v/>
      </c>
      <c r="F131" s="6" t="str">
        <f aca="false">IF($A131="","",COUNTIFS('Import InSite'!$I$5:$I$600,$A131,'Import InSite'!$E$5:$E$600,"Conteso"))</f>
        <v/>
      </c>
      <c r="G131" s="7"/>
    </row>
    <row r="132" customFormat="false" ht="15" hidden="false" customHeight="false" outlineLevel="0" collapsed="false">
      <c r="A132" s="6"/>
      <c r="B132" s="7"/>
      <c r="C132" s="6"/>
      <c r="D132" s="10" t="str">
        <f aca="false">IF($A132="","",SUMIFS('Import InSite'!$N$5:$N$600,'Import InSite'!$I$5:$I$600,$A132))</f>
        <v/>
      </c>
      <c r="E132" s="6" t="str">
        <f aca="false">IF($A132="","",COUNTIFS('Import InSite'!$I$5:$I$600,$A132))</f>
        <v/>
      </c>
      <c r="F132" s="6" t="str">
        <f aca="false">IF($A132="","",COUNTIFS('Import InSite'!$I$5:$I$600,$A132,'Import InSite'!$E$5:$E$600,"Conteso"))</f>
        <v/>
      </c>
      <c r="G132" s="7"/>
    </row>
    <row r="133" customFormat="false" ht="15" hidden="false" customHeight="false" outlineLevel="0" collapsed="false">
      <c r="A133" s="6"/>
      <c r="B133" s="7"/>
      <c r="C133" s="6"/>
      <c r="D133" s="10" t="str">
        <f aca="false">IF($A133="","",SUMIFS('Import InSite'!$N$5:$N$600,'Import InSite'!$I$5:$I$600,$A133))</f>
        <v/>
      </c>
      <c r="E133" s="6" t="str">
        <f aca="false">IF($A133="","",COUNTIFS('Import InSite'!$I$5:$I$600,$A133))</f>
        <v/>
      </c>
      <c r="F133" s="6" t="str">
        <f aca="false">IF($A133="","",COUNTIFS('Import InSite'!$I$5:$I$600,$A133,'Import InSite'!$E$5:$E$600,"Conteso"))</f>
        <v/>
      </c>
      <c r="G133" s="7"/>
    </row>
    <row r="134" customFormat="false" ht="15" hidden="false" customHeight="false" outlineLevel="0" collapsed="false">
      <c r="A134" s="6"/>
      <c r="B134" s="7"/>
      <c r="C134" s="6"/>
      <c r="D134" s="10" t="str">
        <f aca="false">IF($A134="","",SUMIFS('Import InSite'!$N$5:$N$600,'Import InSite'!$I$5:$I$600,$A134))</f>
        <v/>
      </c>
      <c r="E134" s="6" t="str">
        <f aca="false">IF($A134="","",COUNTIFS('Import InSite'!$I$5:$I$600,$A134))</f>
        <v/>
      </c>
      <c r="F134" s="6" t="str">
        <f aca="false">IF($A134="","",COUNTIFS('Import InSite'!$I$5:$I$600,$A134,'Import InSite'!$E$5:$E$600,"Conteso"))</f>
        <v/>
      </c>
      <c r="G134" s="7"/>
    </row>
    <row r="135" customFormat="false" ht="15" hidden="false" customHeight="false" outlineLevel="0" collapsed="false">
      <c r="A135" s="6"/>
      <c r="B135" s="7"/>
      <c r="C135" s="6"/>
      <c r="D135" s="10" t="str">
        <f aca="false">IF($A135="","",SUMIFS('Import InSite'!$N$5:$N$600,'Import InSite'!$I$5:$I$600,$A135))</f>
        <v/>
      </c>
      <c r="E135" s="6" t="str">
        <f aca="false">IF($A135="","",COUNTIFS('Import InSite'!$I$5:$I$600,$A135))</f>
        <v/>
      </c>
      <c r="F135" s="6" t="str">
        <f aca="false">IF($A135="","",COUNTIFS('Import InSite'!$I$5:$I$600,$A135,'Import InSite'!$E$5:$E$600,"Conteso"))</f>
        <v/>
      </c>
      <c r="G135" s="7"/>
    </row>
    <row r="136" customFormat="false" ht="15" hidden="false" customHeight="false" outlineLevel="0" collapsed="false">
      <c r="A136" s="6"/>
      <c r="B136" s="7"/>
      <c r="C136" s="6"/>
      <c r="D136" s="10" t="str">
        <f aca="false">IF($A136="","",SUMIFS('Import InSite'!$N$5:$N$600,'Import InSite'!$I$5:$I$600,$A136))</f>
        <v/>
      </c>
      <c r="E136" s="6" t="str">
        <f aca="false">IF($A136="","",COUNTIFS('Import InSite'!$I$5:$I$600,$A136))</f>
        <v/>
      </c>
      <c r="F136" s="6" t="str">
        <f aca="false">IF($A136="","",COUNTIFS('Import InSite'!$I$5:$I$600,$A136,'Import InSite'!$E$5:$E$600,"Conteso"))</f>
        <v/>
      </c>
      <c r="G136" s="7"/>
    </row>
    <row r="137" customFormat="false" ht="15" hidden="false" customHeight="false" outlineLevel="0" collapsed="false">
      <c r="A137" s="6"/>
      <c r="B137" s="7"/>
      <c r="C137" s="6"/>
      <c r="D137" s="10" t="str">
        <f aca="false">IF($A137="","",SUMIFS('Import InSite'!$N$5:$N$600,'Import InSite'!$I$5:$I$600,$A137))</f>
        <v/>
      </c>
      <c r="E137" s="6" t="str">
        <f aca="false">IF($A137="","",COUNTIFS('Import InSite'!$I$5:$I$600,$A137))</f>
        <v/>
      </c>
      <c r="F137" s="6" t="str">
        <f aca="false">IF($A137="","",COUNTIFS('Import InSite'!$I$5:$I$600,$A137,'Import InSite'!$E$5:$E$600,"Conteso"))</f>
        <v/>
      </c>
      <c r="G137" s="7"/>
    </row>
    <row r="138" customFormat="false" ht="15" hidden="false" customHeight="false" outlineLevel="0" collapsed="false">
      <c r="A138" s="6"/>
      <c r="B138" s="7"/>
      <c r="C138" s="6"/>
      <c r="D138" s="10" t="str">
        <f aca="false">IF($A138="","",SUMIFS('Import InSite'!$N$5:$N$600,'Import InSite'!$I$5:$I$600,$A138))</f>
        <v/>
      </c>
      <c r="E138" s="6" t="str">
        <f aca="false">IF($A138="","",COUNTIFS('Import InSite'!$I$5:$I$600,$A138))</f>
        <v/>
      </c>
      <c r="F138" s="6" t="str">
        <f aca="false">IF($A138="","",COUNTIFS('Import InSite'!$I$5:$I$600,$A138,'Import InSite'!$E$5:$E$600,"Conteso"))</f>
        <v/>
      </c>
      <c r="G138" s="7"/>
    </row>
    <row r="139" customFormat="false" ht="15" hidden="false" customHeight="false" outlineLevel="0" collapsed="false">
      <c r="A139" s="6"/>
      <c r="B139" s="7"/>
      <c r="C139" s="6"/>
      <c r="D139" s="10" t="str">
        <f aca="false">IF($A139="","",SUMIFS('Import InSite'!$N$5:$N$600,'Import InSite'!$I$5:$I$600,$A139))</f>
        <v/>
      </c>
      <c r="E139" s="6" t="str">
        <f aca="false">IF($A139="","",COUNTIFS('Import InSite'!$I$5:$I$600,$A139))</f>
        <v/>
      </c>
      <c r="F139" s="6" t="str">
        <f aca="false">IF($A139="","",COUNTIFS('Import InSite'!$I$5:$I$600,$A139,'Import InSite'!$E$5:$E$600,"Conteso"))</f>
        <v/>
      </c>
      <c r="G139" s="7"/>
    </row>
    <row r="140" customFormat="false" ht="15" hidden="false" customHeight="false" outlineLevel="0" collapsed="false">
      <c r="A140" s="6"/>
      <c r="B140" s="7"/>
      <c r="C140" s="6"/>
      <c r="D140" s="10" t="str">
        <f aca="false">IF($A140="","",SUMIFS('Import InSite'!$N$5:$N$600,'Import InSite'!$I$5:$I$600,$A140))</f>
        <v/>
      </c>
      <c r="E140" s="6" t="str">
        <f aca="false">IF($A140="","",COUNTIFS('Import InSite'!$I$5:$I$600,$A140))</f>
        <v/>
      </c>
      <c r="F140" s="6" t="str">
        <f aca="false">IF($A140="","",COUNTIFS('Import InSite'!$I$5:$I$600,$A140,'Import InSite'!$E$5:$E$600,"Conteso"))</f>
        <v/>
      </c>
      <c r="G140" s="7"/>
    </row>
    <row r="141" customFormat="false" ht="15" hidden="false" customHeight="false" outlineLevel="0" collapsed="false">
      <c r="A141" s="6"/>
      <c r="B141" s="7"/>
      <c r="C141" s="6"/>
      <c r="D141" s="10" t="str">
        <f aca="false">IF($A141="","",SUMIFS('Import InSite'!$N$5:$N$600,'Import InSite'!$I$5:$I$600,$A141))</f>
        <v/>
      </c>
      <c r="E141" s="6" t="str">
        <f aca="false">IF($A141="","",COUNTIFS('Import InSite'!$I$5:$I$600,$A141))</f>
        <v/>
      </c>
      <c r="F141" s="6" t="str">
        <f aca="false">IF($A141="","",COUNTIFS('Import InSite'!$I$5:$I$600,$A141,'Import InSite'!$E$5:$E$600,"Conteso"))</f>
        <v/>
      </c>
      <c r="G141" s="7"/>
    </row>
    <row r="142" customFormat="false" ht="15" hidden="false" customHeight="false" outlineLevel="0" collapsed="false">
      <c r="A142" s="6"/>
      <c r="B142" s="7"/>
      <c r="C142" s="6"/>
      <c r="D142" s="10" t="str">
        <f aca="false">IF($A142="","",SUMIFS('Import InSite'!$N$5:$N$600,'Import InSite'!$I$5:$I$600,$A142))</f>
        <v/>
      </c>
      <c r="E142" s="6" t="str">
        <f aca="false">IF($A142="","",COUNTIFS('Import InSite'!$I$5:$I$600,$A142))</f>
        <v/>
      </c>
      <c r="F142" s="6" t="str">
        <f aca="false">IF($A142="","",COUNTIFS('Import InSite'!$I$5:$I$600,$A142,'Import InSite'!$E$5:$E$600,"Conteso"))</f>
        <v/>
      </c>
      <c r="G142" s="7"/>
    </row>
    <row r="143" customFormat="false" ht="15" hidden="false" customHeight="false" outlineLevel="0" collapsed="false">
      <c r="A143" s="6"/>
      <c r="B143" s="7"/>
      <c r="C143" s="6"/>
      <c r="D143" s="10" t="str">
        <f aca="false">IF($A143="","",SUMIFS('Import InSite'!$N$5:$N$600,'Import InSite'!$I$5:$I$600,$A143))</f>
        <v/>
      </c>
      <c r="E143" s="6" t="str">
        <f aca="false">IF($A143="","",COUNTIFS('Import InSite'!$I$5:$I$600,$A143))</f>
        <v/>
      </c>
      <c r="F143" s="6" t="str">
        <f aca="false">IF($A143="","",COUNTIFS('Import InSite'!$I$5:$I$600,$A143,'Import InSite'!$E$5:$E$600,"Conteso"))</f>
        <v/>
      </c>
      <c r="G143" s="7"/>
    </row>
    <row r="144" customFormat="false" ht="15" hidden="false" customHeight="false" outlineLevel="0" collapsed="false">
      <c r="A144" s="6"/>
      <c r="B144" s="7"/>
      <c r="C144" s="6"/>
      <c r="D144" s="10" t="str">
        <f aca="false">IF($A144="","",SUMIFS('Import InSite'!$N$5:$N$600,'Import InSite'!$I$5:$I$600,$A144))</f>
        <v/>
      </c>
      <c r="E144" s="6" t="str">
        <f aca="false">IF($A144="","",COUNTIFS('Import InSite'!$I$5:$I$600,$A144))</f>
        <v/>
      </c>
      <c r="F144" s="6" t="str">
        <f aca="false">IF($A144="","",COUNTIFS('Import InSite'!$I$5:$I$600,$A144,'Import InSite'!$E$5:$E$600,"Conteso"))</f>
        <v/>
      </c>
      <c r="G144" s="7"/>
    </row>
    <row r="145" customFormat="false" ht="15" hidden="false" customHeight="false" outlineLevel="0" collapsed="false">
      <c r="A145" s="6"/>
      <c r="B145" s="7"/>
      <c r="C145" s="6"/>
      <c r="D145" s="10" t="str">
        <f aca="false">IF($A145="","",SUMIFS('Import InSite'!$N$5:$N$600,'Import InSite'!$I$5:$I$600,$A145))</f>
        <v/>
      </c>
      <c r="E145" s="6" t="str">
        <f aca="false">IF($A145="","",COUNTIFS('Import InSite'!$I$5:$I$600,$A145))</f>
        <v/>
      </c>
      <c r="F145" s="6" t="str">
        <f aca="false">IF($A145="","",COUNTIFS('Import InSite'!$I$5:$I$600,$A145,'Import InSite'!$E$5:$E$600,"Conteso"))</f>
        <v/>
      </c>
      <c r="G145" s="7"/>
    </row>
    <row r="146" customFormat="false" ht="15" hidden="false" customHeight="false" outlineLevel="0" collapsed="false">
      <c r="A146" s="6"/>
      <c r="B146" s="7"/>
      <c r="C146" s="6"/>
      <c r="D146" s="10" t="str">
        <f aca="false">IF($A146="","",SUMIFS('Import InSite'!$N$5:$N$600,'Import InSite'!$I$5:$I$600,$A146))</f>
        <v/>
      </c>
      <c r="E146" s="6" t="str">
        <f aca="false">IF($A146="","",COUNTIFS('Import InSite'!$I$5:$I$600,$A146))</f>
        <v/>
      </c>
      <c r="F146" s="6" t="str">
        <f aca="false">IF($A146="","",COUNTIFS('Import InSite'!$I$5:$I$600,$A146,'Import InSite'!$E$5:$E$600,"Conteso"))</f>
        <v/>
      </c>
      <c r="G146" s="7"/>
    </row>
    <row r="147" customFormat="false" ht="15" hidden="false" customHeight="false" outlineLevel="0" collapsed="false">
      <c r="A147" s="6"/>
      <c r="B147" s="7"/>
      <c r="C147" s="6"/>
      <c r="D147" s="10" t="str">
        <f aca="false">IF($A147="","",SUMIFS('Import InSite'!$N$5:$N$600,'Import InSite'!$I$5:$I$600,$A147))</f>
        <v/>
      </c>
      <c r="E147" s="6" t="str">
        <f aca="false">IF($A147="","",COUNTIFS('Import InSite'!$I$5:$I$600,$A147))</f>
        <v/>
      </c>
      <c r="F147" s="6" t="str">
        <f aca="false">IF($A147="","",COUNTIFS('Import InSite'!$I$5:$I$600,$A147,'Import InSite'!$E$5:$E$600,"Conteso"))</f>
        <v/>
      </c>
      <c r="G147" s="7"/>
    </row>
    <row r="148" customFormat="false" ht="15" hidden="false" customHeight="false" outlineLevel="0" collapsed="false">
      <c r="A148" s="6"/>
      <c r="B148" s="7"/>
      <c r="C148" s="6"/>
      <c r="D148" s="10" t="str">
        <f aca="false">IF($A148="","",SUMIFS('Import InSite'!$N$5:$N$600,'Import InSite'!$I$5:$I$600,$A148))</f>
        <v/>
      </c>
      <c r="E148" s="6" t="str">
        <f aca="false">IF($A148="","",COUNTIFS('Import InSite'!$I$5:$I$600,$A148))</f>
        <v/>
      </c>
      <c r="F148" s="6" t="str">
        <f aca="false">IF($A148="","",COUNTIFS('Import InSite'!$I$5:$I$600,$A148,'Import InSite'!$E$5:$E$600,"Conteso"))</f>
        <v/>
      </c>
      <c r="G148" s="7"/>
    </row>
    <row r="149" customFormat="false" ht="15" hidden="false" customHeight="false" outlineLevel="0" collapsed="false">
      <c r="A149" s="6"/>
      <c r="B149" s="7"/>
      <c r="C149" s="6"/>
      <c r="D149" s="10" t="str">
        <f aca="false">IF($A149="","",SUMIFS('Import InSite'!$N$5:$N$600,'Import InSite'!$I$5:$I$600,$A149))</f>
        <v/>
      </c>
      <c r="E149" s="6" t="str">
        <f aca="false">IF($A149="","",COUNTIFS('Import InSite'!$I$5:$I$600,$A149))</f>
        <v/>
      </c>
      <c r="F149" s="6" t="str">
        <f aca="false">IF($A149="","",COUNTIFS('Import InSite'!$I$5:$I$600,$A149,'Import InSite'!$E$5:$E$600,"Conteso"))</f>
        <v/>
      </c>
      <c r="G149" s="7"/>
    </row>
    <row r="150" customFormat="false" ht="15" hidden="false" customHeight="false" outlineLevel="0" collapsed="false">
      <c r="A150" s="6"/>
      <c r="B150" s="7"/>
      <c r="C150" s="6"/>
      <c r="D150" s="10" t="str">
        <f aca="false">IF($A150="","",SUMIFS('Import InSite'!$N$5:$N$600,'Import InSite'!$I$5:$I$600,$A150))</f>
        <v/>
      </c>
      <c r="E150" s="6" t="str">
        <f aca="false">IF($A150="","",COUNTIFS('Import InSite'!$I$5:$I$600,$A150))</f>
        <v/>
      </c>
      <c r="F150" s="6" t="str">
        <f aca="false">IF($A150="","",COUNTIFS('Import InSite'!$I$5:$I$600,$A150,'Import InSite'!$E$5:$E$600,"Conteso"))</f>
        <v/>
      </c>
      <c r="G150" s="7"/>
    </row>
    <row r="151" customFormat="false" ht="15" hidden="false" customHeight="false" outlineLevel="0" collapsed="false">
      <c r="A151" s="6"/>
      <c r="B151" s="7"/>
      <c r="C151" s="6"/>
      <c r="D151" s="10" t="str">
        <f aca="false">IF($A151="","",SUMIFS('Import InSite'!$N$5:$N$600,'Import InSite'!$I$5:$I$600,$A151))</f>
        <v/>
      </c>
      <c r="E151" s="6" t="str">
        <f aca="false">IF($A151="","",COUNTIFS('Import InSite'!$I$5:$I$600,$A151))</f>
        <v/>
      </c>
      <c r="F151" s="6" t="str">
        <f aca="false">IF($A151="","",COUNTIFS('Import InSite'!$I$5:$I$600,$A151,'Import InSite'!$E$5:$E$600,"Conteso"))</f>
        <v/>
      </c>
      <c r="G151" s="7"/>
    </row>
    <row r="152" customFormat="false" ht="15" hidden="false" customHeight="false" outlineLevel="0" collapsed="false">
      <c r="A152" s="6"/>
      <c r="B152" s="7"/>
      <c r="C152" s="6"/>
      <c r="D152" s="10" t="str">
        <f aca="false">IF($A152="","",SUMIFS('Import InSite'!$N$5:$N$600,'Import InSite'!$I$5:$I$600,$A152))</f>
        <v/>
      </c>
      <c r="E152" s="6" t="str">
        <f aca="false">IF($A152="","",COUNTIFS('Import InSite'!$I$5:$I$600,$A152))</f>
        <v/>
      </c>
      <c r="F152" s="6" t="str">
        <f aca="false">IF($A152="","",COUNTIFS('Import InSite'!$I$5:$I$600,$A152,'Import InSite'!$E$5:$E$600,"Conteso"))</f>
        <v/>
      </c>
      <c r="G152" s="7"/>
    </row>
    <row r="153" customFormat="false" ht="15" hidden="false" customHeight="false" outlineLevel="0" collapsed="false">
      <c r="A153" s="6"/>
      <c r="B153" s="7"/>
      <c r="C153" s="6"/>
      <c r="D153" s="10" t="str">
        <f aca="false">IF($A153="","",SUMIFS('Import InSite'!$N$5:$N$600,'Import InSite'!$I$5:$I$600,$A153))</f>
        <v/>
      </c>
      <c r="E153" s="6" t="str">
        <f aca="false">IF($A153="","",COUNTIFS('Import InSite'!$I$5:$I$600,$A153))</f>
        <v/>
      </c>
      <c r="F153" s="6" t="str">
        <f aca="false">IF($A153="","",COUNTIFS('Import InSite'!$I$5:$I$600,$A153,'Import InSite'!$E$5:$E$600,"Conteso"))</f>
        <v/>
      </c>
      <c r="G153" s="7"/>
    </row>
    <row r="154" customFormat="false" ht="15" hidden="false" customHeight="false" outlineLevel="0" collapsed="false">
      <c r="A154" s="6"/>
      <c r="B154" s="7"/>
      <c r="C154" s="6"/>
      <c r="D154" s="10" t="str">
        <f aca="false">IF($A154="","",SUMIFS('Import InSite'!$N$5:$N$600,'Import InSite'!$I$5:$I$600,$A154))</f>
        <v/>
      </c>
      <c r="E154" s="6" t="str">
        <f aca="false">IF($A154="","",COUNTIFS('Import InSite'!$I$5:$I$600,$A154))</f>
        <v/>
      </c>
      <c r="F154" s="6" t="str">
        <f aca="false">IF($A154="","",COUNTIFS('Import InSite'!$I$5:$I$600,$A154,'Import InSite'!$E$5:$E$600,"Conteso"))</f>
        <v/>
      </c>
      <c r="G154" s="7"/>
    </row>
    <row r="155" customFormat="false" ht="15" hidden="false" customHeight="false" outlineLevel="0" collapsed="false">
      <c r="A155" s="6"/>
      <c r="B155" s="7"/>
      <c r="C155" s="6"/>
      <c r="D155" s="10" t="str">
        <f aca="false">IF($A155="","",SUMIFS('Import InSite'!$N$5:$N$600,'Import InSite'!$I$5:$I$600,$A155))</f>
        <v/>
      </c>
      <c r="E155" s="6" t="str">
        <f aca="false">IF($A155="","",COUNTIFS('Import InSite'!$I$5:$I$600,$A155))</f>
        <v/>
      </c>
      <c r="F155" s="6" t="str">
        <f aca="false">IF($A155="","",COUNTIFS('Import InSite'!$I$5:$I$600,$A155,'Import InSite'!$E$5:$E$600,"Conteso"))</f>
        <v/>
      </c>
      <c r="G155" s="7"/>
    </row>
    <row r="156" customFormat="false" ht="15" hidden="false" customHeight="false" outlineLevel="0" collapsed="false">
      <c r="A156" s="6"/>
      <c r="B156" s="7"/>
      <c r="C156" s="6"/>
      <c r="D156" s="10" t="str">
        <f aca="false">IF($A156="","",SUMIFS('Import InSite'!$N$5:$N$600,'Import InSite'!$I$5:$I$600,$A156))</f>
        <v/>
      </c>
      <c r="E156" s="6" t="str">
        <f aca="false">IF($A156="","",COUNTIFS('Import InSite'!$I$5:$I$600,$A156))</f>
        <v/>
      </c>
      <c r="F156" s="6" t="str">
        <f aca="false">IF($A156="","",COUNTIFS('Import InSite'!$I$5:$I$600,$A156,'Import InSite'!$E$5:$E$600,"Conteso"))</f>
        <v/>
      </c>
      <c r="G156" s="7"/>
    </row>
    <row r="157" customFormat="false" ht="15" hidden="false" customHeight="false" outlineLevel="0" collapsed="false">
      <c r="A157" s="6"/>
      <c r="B157" s="7"/>
      <c r="C157" s="6"/>
      <c r="D157" s="10" t="str">
        <f aca="false">IF($A157="","",SUMIFS('Import InSite'!$N$5:$N$600,'Import InSite'!$I$5:$I$600,$A157))</f>
        <v/>
      </c>
      <c r="E157" s="6" t="str">
        <f aca="false">IF($A157="","",COUNTIFS('Import InSite'!$I$5:$I$600,$A157))</f>
        <v/>
      </c>
      <c r="F157" s="6" t="str">
        <f aca="false">IF($A157="","",COUNTIFS('Import InSite'!$I$5:$I$600,$A157,'Import InSite'!$E$5:$E$600,"Conteso"))</f>
        <v/>
      </c>
      <c r="G157" s="7"/>
    </row>
    <row r="158" customFormat="false" ht="15" hidden="false" customHeight="false" outlineLevel="0" collapsed="false">
      <c r="A158" s="6"/>
      <c r="B158" s="7"/>
      <c r="C158" s="6"/>
      <c r="D158" s="10" t="str">
        <f aca="false">IF($A158="","",SUMIFS('Import InSite'!$N$5:$N$600,'Import InSite'!$I$5:$I$600,$A158))</f>
        <v/>
      </c>
      <c r="E158" s="6" t="str">
        <f aca="false">IF($A158="","",COUNTIFS('Import InSite'!$I$5:$I$600,$A158))</f>
        <v/>
      </c>
      <c r="F158" s="6" t="str">
        <f aca="false">IF($A158="","",COUNTIFS('Import InSite'!$I$5:$I$600,$A158,'Import InSite'!$E$5:$E$600,"Conteso"))</f>
        <v/>
      </c>
      <c r="G158" s="7"/>
    </row>
    <row r="159" customFormat="false" ht="15" hidden="false" customHeight="false" outlineLevel="0" collapsed="false">
      <c r="A159" s="6"/>
      <c r="B159" s="7"/>
      <c r="C159" s="6"/>
      <c r="D159" s="10" t="str">
        <f aca="false">IF($A159="","",SUMIFS('Import InSite'!$N$5:$N$600,'Import InSite'!$I$5:$I$600,$A159))</f>
        <v/>
      </c>
      <c r="E159" s="6" t="str">
        <f aca="false">IF($A159="","",COUNTIFS('Import InSite'!$I$5:$I$600,$A159))</f>
        <v/>
      </c>
      <c r="F159" s="6" t="str">
        <f aca="false">IF($A159="","",COUNTIFS('Import InSite'!$I$5:$I$600,$A159,'Import InSite'!$E$5:$E$600,"Conteso"))</f>
        <v/>
      </c>
      <c r="G159" s="7"/>
    </row>
    <row r="160" customFormat="false" ht="15" hidden="false" customHeight="false" outlineLevel="0" collapsed="false">
      <c r="A160" s="6"/>
      <c r="B160" s="7"/>
      <c r="C160" s="6"/>
      <c r="D160" s="10" t="str">
        <f aca="false">IF($A160="","",SUMIFS('Import InSite'!$N$5:$N$600,'Import InSite'!$I$5:$I$600,$A160))</f>
        <v/>
      </c>
      <c r="E160" s="6" t="str">
        <f aca="false">IF($A160="","",COUNTIFS('Import InSite'!$I$5:$I$600,$A160))</f>
        <v/>
      </c>
      <c r="F160" s="6" t="str">
        <f aca="false">IF($A160="","",COUNTIFS('Import InSite'!$I$5:$I$600,$A160,'Import InSite'!$E$5:$E$600,"Conteso"))</f>
        <v/>
      </c>
      <c r="G160" s="7"/>
    </row>
    <row r="161" customFormat="false" ht="15" hidden="false" customHeight="false" outlineLevel="0" collapsed="false">
      <c r="A161" s="6"/>
      <c r="B161" s="7"/>
      <c r="C161" s="6"/>
      <c r="D161" s="10" t="str">
        <f aca="false">IF($A161="","",SUMIFS('Import InSite'!$N$5:$N$600,'Import InSite'!$I$5:$I$600,$A161))</f>
        <v/>
      </c>
      <c r="E161" s="6" t="str">
        <f aca="false">IF($A161="","",COUNTIFS('Import InSite'!$I$5:$I$600,$A161))</f>
        <v/>
      </c>
      <c r="F161" s="6" t="str">
        <f aca="false">IF($A161="","",COUNTIFS('Import InSite'!$I$5:$I$600,$A161,'Import InSite'!$E$5:$E$600,"Conteso"))</f>
        <v/>
      </c>
      <c r="G161" s="7"/>
    </row>
    <row r="162" customFormat="false" ht="15" hidden="false" customHeight="false" outlineLevel="0" collapsed="false">
      <c r="A162" s="6"/>
      <c r="B162" s="7"/>
      <c r="C162" s="6"/>
      <c r="D162" s="10" t="str">
        <f aca="false">IF($A162="","",SUMIFS('Import InSite'!$N$5:$N$600,'Import InSite'!$I$5:$I$600,$A162))</f>
        <v/>
      </c>
      <c r="E162" s="6" t="str">
        <f aca="false">IF($A162="","",COUNTIFS('Import InSite'!$I$5:$I$600,$A162))</f>
        <v/>
      </c>
      <c r="F162" s="6" t="str">
        <f aca="false">IF($A162="","",COUNTIFS('Import InSite'!$I$5:$I$600,$A162,'Import InSite'!$E$5:$E$600,"Conteso"))</f>
        <v/>
      </c>
      <c r="G162" s="7"/>
    </row>
    <row r="163" customFormat="false" ht="15" hidden="false" customHeight="false" outlineLevel="0" collapsed="false">
      <c r="A163" s="6"/>
      <c r="B163" s="7"/>
      <c r="C163" s="6"/>
      <c r="D163" s="10" t="str">
        <f aca="false">IF($A163="","",SUMIFS('Import InSite'!$N$5:$N$600,'Import InSite'!$I$5:$I$600,$A163))</f>
        <v/>
      </c>
      <c r="E163" s="6" t="str">
        <f aca="false">IF($A163="","",COUNTIFS('Import InSite'!$I$5:$I$600,$A163))</f>
        <v/>
      </c>
      <c r="F163" s="6" t="str">
        <f aca="false">IF($A163="","",COUNTIFS('Import InSite'!$I$5:$I$600,$A163,'Import InSite'!$E$5:$E$600,"Conteso"))</f>
        <v/>
      </c>
      <c r="G163" s="7"/>
    </row>
    <row r="164" customFormat="false" ht="15" hidden="false" customHeight="false" outlineLevel="0" collapsed="false">
      <c r="A164" s="6"/>
      <c r="B164" s="7"/>
      <c r="C164" s="6"/>
      <c r="D164" s="10" t="str">
        <f aca="false">IF($A164="","",SUMIFS('Import InSite'!$N$5:$N$600,'Import InSite'!$I$5:$I$600,$A164))</f>
        <v/>
      </c>
      <c r="E164" s="6" t="str">
        <f aca="false">IF($A164="","",COUNTIFS('Import InSite'!$I$5:$I$600,$A164))</f>
        <v/>
      </c>
      <c r="F164" s="6" t="str">
        <f aca="false">IF($A164="","",COUNTIFS('Import InSite'!$I$5:$I$600,$A164,'Import InSite'!$E$5:$E$600,"Conteso"))</f>
        <v/>
      </c>
      <c r="G164" s="7"/>
    </row>
    <row r="165" customFormat="false" ht="15" hidden="false" customHeight="false" outlineLevel="0" collapsed="false">
      <c r="A165" s="6"/>
      <c r="B165" s="7"/>
      <c r="C165" s="6"/>
      <c r="D165" s="10" t="str">
        <f aca="false">IF($A165="","",SUMIFS('Import InSite'!$N$5:$N$600,'Import InSite'!$I$5:$I$600,$A165))</f>
        <v/>
      </c>
      <c r="E165" s="6" t="str">
        <f aca="false">IF($A165="","",COUNTIFS('Import InSite'!$I$5:$I$600,$A165))</f>
        <v/>
      </c>
      <c r="F165" s="6" t="str">
        <f aca="false">IF($A165="","",COUNTIFS('Import InSite'!$I$5:$I$600,$A165,'Import InSite'!$E$5:$E$600,"Conteso"))</f>
        <v/>
      </c>
      <c r="G165" s="7"/>
    </row>
    <row r="166" customFormat="false" ht="15" hidden="false" customHeight="false" outlineLevel="0" collapsed="false">
      <c r="A166" s="6"/>
      <c r="B166" s="7"/>
      <c r="C166" s="6"/>
      <c r="D166" s="10" t="str">
        <f aca="false">IF($A166="","",SUMIFS('Import InSite'!$N$5:$N$600,'Import InSite'!$I$5:$I$600,$A166))</f>
        <v/>
      </c>
      <c r="E166" s="6" t="str">
        <f aca="false">IF($A166="","",COUNTIFS('Import InSite'!$I$5:$I$600,$A166))</f>
        <v/>
      </c>
      <c r="F166" s="6" t="str">
        <f aca="false">IF($A166="","",COUNTIFS('Import InSite'!$I$5:$I$600,$A166,'Import InSite'!$E$5:$E$600,"Conteso"))</f>
        <v/>
      </c>
      <c r="G166" s="7"/>
    </row>
    <row r="167" customFormat="false" ht="15" hidden="false" customHeight="false" outlineLevel="0" collapsed="false">
      <c r="A167" s="6"/>
      <c r="B167" s="7"/>
      <c r="C167" s="6"/>
      <c r="D167" s="10" t="str">
        <f aca="false">IF($A167="","",SUMIFS('Import InSite'!$N$5:$N$600,'Import InSite'!$I$5:$I$600,$A167))</f>
        <v/>
      </c>
      <c r="E167" s="6" t="str">
        <f aca="false">IF($A167="","",COUNTIFS('Import InSite'!$I$5:$I$600,$A167))</f>
        <v/>
      </c>
      <c r="F167" s="6" t="str">
        <f aca="false">IF($A167="","",COUNTIFS('Import InSite'!$I$5:$I$600,$A167,'Import InSite'!$E$5:$E$600,"Conteso"))</f>
        <v/>
      </c>
      <c r="G167" s="7"/>
    </row>
    <row r="168" customFormat="false" ht="15" hidden="false" customHeight="false" outlineLevel="0" collapsed="false">
      <c r="A168" s="6"/>
      <c r="B168" s="7"/>
      <c r="C168" s="6"/>
      <c r="D168" s="10" t="str">
        <f aca="false">IF($A168="","",SUMIFS('Import InSite'!$N$5:$N$600,'Import InSite'!$I$5:$I$600,$A168))</f>
        <v/>
      </c>
      <c r="E168" s="6" t="str">
        <f aca="false">IF($A168="","",COUNTIFS('Import InSite'!$I$5:$I$600,$A168))</f>
        <v/>
      </c>
      <c r="F168" s="6" t="str">
        <f aca="false">IF($A168="","",COUNTIFS('Import InSite'!$I$5:$I$600,$A168,'Import InSite'!$E$5:$E$600,"Conteso"))</f>
        <v/>
      </c>
      <c r="G168" s="7"/>
    </row>
    <row r="169" customFormat="false" ht="15" hidden="false" customHeight="false" outlineLevel="0" collapsed="false">
      <c r="A169" s="6"/>
      <c r="B169" s="7"/>
      <c r="C169" s="6"/>
      <c r="D169" s="10" t="str">
        <f aca="false">IF($A169="","",SUMIFS('Import InSite'!$N$5:$N$600,'Import InSite'!$I$5:$I$600,$A169))</f>
        <v/>
      </c>
      <c r="E169" s="6" t="str">
        <f aca="false">IF($A169="","",COUNTIFS('Import InSite'!$I$5:$I$600,$A169))</f>
        <v/>
      </c>
      <c r="F169" s="6" t="str">
        <f aca="false">IF($A169="","",COUNTIFS('Import InSite'!$I$5:$I$600,$A169,'Import InSite'!$E$5:$E$600,"Conteso"))</f>
        <v/>
      </c>
      <c r="G169" s="7"/>
    </row>
    <row r="170" customFormat="false" ht="15" hidden="false" customHeight="false" outlineLevel="0" collapsed="false">
      <c r="A170" s="6"/>
      <c r="B170" s="7"/>
      <c r="C170" s="6"/>
      <c r="D170" s="10" t="str">
        <f aca="false">IF($A170="","",SUMIFS('Import InSite'!$N$5:$N$600,'Import InSite'!$I$5:$I$600,$A170))</f>
        <v/>
      </c>
      <c r="E170" s="6" t="str">
        <f aca="false">IF($A170="","",COUNTIFS('Import InSite'!$I$5:$I$600,$A170))</f>
        <v/>
      </c>
      <c r="F170" s="6" t="str">
        <f aca="false">IF($A170="","",COUNTIFS('Import InSite'!$I$5:$I$600,$A170,'Import InSite'!$E$5:$E$600,"Conteso"))</f>
        <v/>
      </c>
      <c r="G170" s="7"/>
    </row>
    <row r="171" customFormat="false" ht="15" hidden="false" customHeight="false" outlineLevel="0" collapsed="false">
      <c r="A171" s="6"/>
      <c r="B171" s="7"/>
      <c r="C171" s="6"/>
      <c r="D171" s="10" t="str">
        <f aca="false">IF($A171="","",SUMIFS('Import InSite'!$N$5:$N$600,'Import InSite'!$I$5:$I$600,$A171))</f>
        <v/>
      </c>
      <c r="E171" s="6" t="str">
        <f aca="false">IF($A171="","",COUNTIFS('Import InSite'!$I$5:$I$600,$A171))</f>
        <v/>
      </c>
      <c r="F171" s="6" t="str">
        <f aca="false">IF($A171="","",COUNTIFS('Import InSite'!$I$5:$I$600,$A171,'Import InSite'!$E$5:$E$600,"Conteso"))</f>
        <v/>
      </c>
      <c r="G171" s="7"/>
    </row>
    <row r="172" customFormat="false" ht="15" hidden="false" customHeight="false" outlineLevel="0" collapsed="false">
      <c r="A172" s="6"/>
      <c r="B172" s="7"/>
      <c r="C172" s="6"/>
      <c r="D172" s="10" t="str">
        <f aca="false">IF($A172="","",SUMIFS('Import InSite'!$N$5:$N$600,'Import InSite'!$I$5:$I$600,$A172))</f>
        <v/>
      </c>
      <c r="E172" s="6" t="str">
        <f aca="false">IF($A172="","",COUNTIFS('Import InSite'!$I$5:$I$600,$A172))</f>
        <v/>
      </c>
      <c r="F172" s="6" t="str">
        <f aca="false">IF($A172="","",COUNTIFS('Import InSite'!$I$5:$I$600,$A172,'Import InSite'!$E$5:$E$600,"Conteso"))</f>
        <v/>
      </c>
      <c r="G172" s="7"/>
    </row>
    <row r="173" customFormat="false" ht="15" hidden="false" customHeight="false" outlineLevel="0" collapsed="false">
      <c r="A173" s="6"/>
      <c r="B173" s="7"/>
      <c r="C173" s="6"/>
      <c r="D173" s="10" t="str">
        <f aca="false">IF($A173="","",SUMIFS('Import InSite'!$N$5:$N$600,'Import InSite'!$I$5:$I$600,$A173))</f>
        <v/>
      </c>
      <c r="E173" s="6" t="str">
        <f aca="false">IF($A173="","",COUNTIFS('Import InSite'!$I$5:$I$600,$A173))</f>
        <v/>
      </c>
      <c r="F173" s="6" t="str">
        <f aca="false">IF($A173="","",COUNTIFS('Import InSite'!$I$5:$I$600,$A173,'Import InSite'!$E$5:$E$600,"Conteso"))</f>
        <v/>
      </c>
      <c r="G173" s="7"/>
    </row>
    <row r="174" customFormat="false" ht="15" hidden="false" customHeight="false" outlineLevel="0" collapsed="false">
      <c r="A174" s="6"/>
      <c r="B174" s="7"/>
      <c r="C174" s="6"/>
      <c r="D174" s="10" t="str">
        <f aca="false">IF($A174="","",SUMIFS('Import InSite'!$N$5:$N$600,'Import InSite'!$I$5:$I$600,$A174))</f>
        <v/>
      </c>
      <c r="E174" s="6" t="str">
        <f aca="false">IF($A174="","",COUNTIFS('Import InSite'!$I$5:$I$600,$A174))</f>
        <v/>
      </c>
      <c r="F174" s="6" t="str">
        <f aca="false">IF($A174="","",COUNTIFS('Import InSite'!$I$5:$I$600,$A174,'Import InSite'!$E$5:$E$600,"Conteso"))</f>
        <v/>
      </c>
      <c r="G174" s="7"/>
    </row>
    <row r="175" customFormat="false" ht="15" hidden="false" customHeight="false" outlineLevel="0" collapsed="false">
      <c r="A175" s="6"/>
      <c r="B175" s="7"/>
      <c r="C175" s="6"/>
      <c r="D175" s="10" t="str">
        <f aca="false">IF($A175="","",SUMIFS('Import InSite'!$N$5:$N$600,'Import InSite'!$I$5:$I$600,$A175))</f>
        <v/>
      </c>
      <c r="E175" s="6" t="str">
        <f aca="false">IF($A175="","",COUNTIFS('Import InSite'!$I$5:$I$600,$A175))</f>
        <v/>
      </c>
      <c r="F175" s="6" t="str">
        <f aca="false">IF($A175="","",COUNTIFS('Import InSite'!$I$5:$I$600,$A175,'Import InSite'!$E$5:$E$600,"Conteso"))</f>
        <v/>
      </c>
      <c r="G175" s="7"/>
    </row>
    <row r="176" customFormat="false" ht="15" hidden="false" customHeight="false" outlineLevel="0" collapsed="false">
      <c r="A176" s="6"/>
      <c r="B176" s="7"/>
      <c r="C176" s="6"/>
      <c r="D176" s="10" t="str">
        <f aca="false">IF($A176="","",SUMIFS('Import InSite'!$N$5:$N$600,'Import InSite'!$I$5:$I$600,$A176))</f>
        <v/>
      </c>
      <c r="E176" s="6" t="str">
        <f aca="false">IF($A176="","",COUNTIFS('Import InSite'!$I$5:$I$600,$A176))</f>
        <v/>
      </c>
      <c r="F176" s="6" t="str">
        <f aca="false">IF($A176="","",COUNTIFS('Import InSite'!$I$5:$I$600,$A176,'Import InSite'!$E$5:$E$600,"Conteso"))</f>
        <v/>
      </c>
      <c r="G176" s="7"/>
    </row>
    <row r="177" customFormat="false" ht="15" hidden="false" customHeight="false" outlineLevel="0" collapsed="false">
      <c r="A177" s="6"/>
      <c r="B177" s="7"/>
      <c r="C177" s="6"/>
      <c r="D177" s="10" t="str">
        <f aca="false">IF($A177="","",SUMIFS('Import InSite'!$N$5:$N$600,'Import InSite'!$I$5:$I$600,$A177))</f>
        <v/>
      </c>
      <c r="E177" s="6" t="str">
        <f aca="false">IF($A177="","",COUNTIFS('Import InSite'!$I$5:$I$600,$A177))</f>
        <v/>
      </c>
      <c r="F177" s="6" t="str">
        <f aca="false">IF($A177="","",COUNTIFS('Import InSite'!$I$5:$I$600,$A177,'Import InSite'!$E$5:$E$600,"Conteso"))</f>
        <v/>
      </c>
      <c r="G177" s="7"/>
    </row>
    <row r="178" customFormat="false" ht="15" hidden="false" customHeight="false" outlineLevel="0" collapsed="false">
      <c r="A178" s="6"/>
      <c r="B178" s="7"/>
      <c r="C178" s="6"/>
      <c r="D178" s="10" t="str">
        <f aca="false">IF($A178="","",SUMIFS('Import InSite'!$N$5:$N$600,'Import InSite'!$I$5:$I$600,$A178))</f>
        <v/>
      </c>
      <c r="E178" s="6" t="str">
        <f aca="false">IF($A178="","",COUNTIFS('Import InSite'!$I$5:$I$600,$A178))</f>
        <v/>
      </c>
      <c r="F178" s="6" t="str">
        <f aca="false">IF($A178="","",COUNTIFS('Import InSite'!$I$5:$I$600,$A178,'Import InSite'!$E$5:$E$600,"Conteso"))</f>
        <v/>
      </c>
      <c r="G178" s="7"/>
    </row>
    <row r="179" customFormat="false" ht="15" hidden="false" customHeight="false" outlineLevel="0" collapsed="false">
      <c r="A179" s="6"/>
      <c r="B179" s="7"/>
      <c r="C179" s="6"/>
      <c r="D179" s="10" t="str">
        <f aca="false">IF($A179="","",SUMIFS('Import InSite'!$N$5:$N$600,'Import InSite'!$I$5:$I$600,$A179))</f>
        <v/>
      </c>
      <c r="E179" s="6" t="str">
        <f aca="false">IF($A179="","",COUNTIFS('Import InSite'!$I$5:$I$600,$A179))</f>
        <v/>
      </c>
      <c r="F179" s="6" t="str">
        <f aca="false">IF($A179="","",COUNTIFS('Import InSite'!$I$5:$I$600,$A179,'Import InSite'!$E$5:$E$600,"Conteso"))</f>
        <v/>
      </c>
      <c r="G179" s="7"/>
    </row>
    <row r="180" customFormat="false" ht="15" hidden="false" customHeight="false" outlineLevel="0" collapsed="false">
      <c r="A180" s="6"/>
      <c r="B180" s="7"/>
      <c r="C180" s="6"/>
      <c r="D180" s="10" t="str">
        <f aca="false">IF($A180="","",SUMIFS('Import InSite'!$N$5:$N$600,'Import InSite'!$I$5:$I$600,$A180))</f>
        <v/>
      </c>
      <c r="E180" s="6" t="str">
        <f aca="false">IF($A180="","",COUNTIFS('Import InSite'!$I$5:$I$600,$A180))</f>
        <v/>
      </c>
      <c r="F180" s="6" t="str">
        <f aca="false">IF($A180="","",COUNTIFS('Import InSite'!$I$5:$I$600,$A180,'Import InSite'!$E$5:$E$600,"Conteso"))</f>
        <v/>
      </c>
      <c r="G180" s="7"/>
    </row>
    <row r="181" customFormat="false" ht="15" hidden="false" customHeight="false" outlineLevel="0" collapsed="false">
      <c r="A181" s="6"/>
      <c r="B181" s="7"/>
      <c r="C181" s="6"/>
      <c r="D181" s="10" t="str">
        <f aca="false">IF($A181="","",SUMIFS('Import InSite'!$N$5:$N$600,'Import InSite'!$I$5:$I$600,$A181))</f>
        <v/>
      </c>
      <c r="E181" s="6" t="str">
        <f aca="false">IF($A181="","",COUNTIFS('Import InSite'!$I$5:$I$600,$A181))</f>
        <v/>
      </c>
      <c r="F181" s="6" t="str">
        <f aca="false">IF($A181="","",COUNTIFS('Import InSite'!$I$5:$I$600,$A181,'Import InSite'!$E$5:$E$600,"Conteso"))</f>
        <v/>
      </c>
      <c r="G181" s="7"/>
    </row>
    <row r="182" customFormat="false" ht="15" hidden="false" customHeight="false" outlineLevel="0" collapsed="false">
      <c r="A182" s="6"/>
      <c r="B182" s="7"/>
      <c r="C182" s="6"/>
      <c r="D182" s="10" t="str">
        <f aca="false">IF($A182="","",SUMIFS('Import InSite'!$N$5:$N$600,'Import InSite'!$I$5:$I$600,$A182))</f>
        <v/>
      </c>
      <c r="E182" s="6" t="str">
        <f aca="false">IF($A182="","",COUNTIFS('Import InSite'!$I$5:$I$600,$A182))</f>
        <v/>
      </c>
      <c r="F182" s="6" t="str">
        <f aca="false">IF($A182="","",COUNTIFS('Import InSite'!$I$5:$I$600,$A182,'Import InSite'!$E$5:$E$600,"Conteso"))</f>
        <v/>
      </c>
      <c r="G182" s="7"/>
    </row>
    <row r="183" customFormat="false" ht="15" hidden="false" customHeight="false" outlineLevel="0" collapsed="false">
      <c r="A183" s="6"/>
      <c r="B183" s="7"/>
      <c r="C183" s="6"/>
      <c r="D183" s="10" t="str">
        <f aca="false">IF($A183="","",SUMIFS('Import InSite'!$N$5:$N$600,'Import InSite'!$I$5:$I$600,$A183))</f>
        <v/>
      </c>
      <c r="E183" s="6" t="str">
        <f aca="false">IF($A183="","",COUNTIFS('Import InSite'!$I$5:$I$600,$A183))</f>
        <v/>
      </c>
      <c r="F183" s="6" t="str">
        <f aca="false">IF($A183="","",COUNTIFS('Import InSite'!$I$5:$I$600,$A183,'Import InSite'!$E$5:$E$600,"Conteso"))</f>
        <v/>
      </c>
      <c r="G183" s="7"/>
    </row>
    <row r="184" customFormat="false" ht="15" hidden="false" customHeight="false" outlineLevel="0" collapsed="false">
      <c r="A184" s="6"/>
      <c r="B184" s="7"/>
      <c r="C184" s="6"/>
      <c r="D184" s="10" t="str">
        <f aca="false">IF($A184="","",SUMIFS('Import InSite'!$N$5:$N$600,'Import InSite'!$I$5:$I$600,$A184))</f>
        <v/>
      </c>
      <c r="E184" s="6" t="str">
        <f aca="false">IF($A184="","",COUNTIFS('Import InSite'!$I$5:$I$600,$A184))</f>
        <v/>
      </c>
      <c r="F184" s="6" t="str">
        <f aca="false">IF($A184="","",COUNTIFS('Import InSite'!$I$5:$I$600,$A184,'Import InSite'!$E$5:$E$600,"Conteso"))</f>
        <v/>
      </c>
      <c r="G184" s="7"/>
    </row>
    <row r="185" customFormat="false" ht="15" hidden="false" customHeight="false" outlineLevel="0" collapsed="false">
      <c r="A185" s="6"/>
      <c r="B185" s="7"/>
      <c r="C185" s="6"/>
      <c r="D185" s="10" t="str">
        <f aca="false">IF($A185="","",SUMIFS('Import InSite'!$N$5:$N$600,'Import InSite'!$I$5:$I$600,$A185))</f>
        <v/>
      </c>
      <c r="E185" s="6" t="str">
        <f aca="false">IF($A185="","",COUNTIFS('Import InSite'!$I$5:$I$600,$A185))</f>
        <v/>
      </c>
      <c r="F185" s="6" t="str">
        <f aca="false">IF($A185="","",COUNTIFS('Import InSite'!$I$5:$I$600,$A185,'Import InSite'!$E$5:$E$600,"Conteso"))</f>
        <v/>
      </c>
      <c r="G185" s="7"/>
    </row>
    <row r="186" customFormat="false" ht="15" hidden="false" customHeight="false" outlineLevel="0" collapsed="false">
      <c r="A186" s="6"/>
      <c r="B186" s="7"/>
      <c r="C186" s="6"/>
      <c r="D186" s="10" t="str">
        <f aca="false">IF($A186="","",SUMIFS('Import InSite'!$N$5:$N$600,'Import InSite'!$I$5:$I$600,$A186))</f>
        <v/>
      </c>
      <c r="E186" s="6" t="str">
        <f aca="false">IF($A186="","",COUNTIFS('Import InSite'!$I$5:$I$600,$A186))</f>
        <v/>
      </c>
      <c r="F186" s="6" t="str">
        <f aca="false">IF($A186="","",COUNTIFS('Import InSite'!$I$5:$I$600,$A186,'Import InSite'!$E$5:$E$600,"Conteso"))</f>
        <v/>
      </c>
      <c r="G186" s="7"/>
    </row>
    <row r="187" customFormat="false" ht="15" hidden="false" customHeight="false" outlineLevel="0" collapsed="false">
      <c r="A187" s="6"/>
      <c r="B187" s="7"/>
      <c r="C187" s="6"/>
      <c r="D187" s="10" t="str">
        <f aca="false">IF($A187="","",SUMIFS('Import InSite'!$N$5:$N$600,'Import InSite'!$I$5:$I$600,$A187))</f>
        <v/>
      </c>
      <c r="E187" s="6" t="str">
        <f aca="false">IF($A187="","",COUNTIFS('Import InSite'!$I$5:$I$600,$A187))</f>
        <v/>
      </c>
      <c r="F187" s="6" t="str">
        <f aca="false">IF($A187="","",COUNTIFS('Import InSite'!$I$5:$I$600,$A187,'Import InSite'!$E$5:$E$600,"Conteso"))</f>
        <v/>
      </c>
      <c r="G187" s="7"/>
    </row>
    <row r="188" customFormat="false" ht="15" hidden="false" customHeight="false" outlineLevel="0" collapsed="false">
      <c r="A188" s="6"/>
      <c r="B188" s="7"/>
      <c r="C188" s="6"/>
      <c r="D188" s="10" t="str">
        <f aca="false">IF($A188="","",SUMIFS('Import InSite'!$N$5:$N$600,'Import InSite'!$I$5:$I$600,$A188))</f>
        <v/>
      </c>
      <c r="E188" s="6" t="str">
        <f aca="false">IF($A188="","",COUNTIFS('Import InSite'!$I$5:$I$600,$A188))</f>
        <v/>
      </c>
      <c r="F188" s="6" t="str">
        <f aca="false">IF($A188="","",COUNTIFS('Import InSite'!$I$5:$I$600,$A188,'Import InSite'!$E$5:$E$600,"Conteso"))</f>
        <v/>
      </c>
      <c r="G188" s="7"/>
    </row>
    <row r="189" customFormat="false" ht="15" hidden="false" customHeight="false" outlineLevel="0" collapsed="false">
      <c r="A189" s="6"/>
      <c r="B189" s="7"/>
      <c r="C189" s="6"/>
      <c r="D189" s="10" t="str">
        <f aca="false">IF($A189="","",SUMIFS('Import InSite'!$N$5:$N$600,'Import InSite'!$I$5:$I$600,$A189))</f>
        <v/>
      </c>
      <c r="E189" s="6" t="str">
        <f aca="false">IF($A189="","",COUNTIFS('Import InSite'!$I$5:$I$600,$A189))</f>
        <v/>
      </c>
      <c r="F189" s="6" t="str">
        <f aca="false">IF($A189="","",COUNTIFS('Import InSite'!$I$5:$I$600,$A189,'Import InSite'!$E$5:$E$600,"Conteso"))</f>
        <v/>
      </c>
      <c r="G189" s="7"/>
    </row>
    <row r="190" customFormat="false" ht="15" hidden="false" customHeight="false" outlineLevel="0" collapsed="false">
      <c r="A190" s="6"/>
      <c r="B190" s="7"/>
      <c r="C190" s="6"/>
      <c r="D190" s="10" t="str">
        <f aca="false">IF($A190="","",SUMIFS('Import InSite'!$N$5:$N$600,'Import InSite'!$I$5:$I$600,$A190))</f>
        <v/>
      </c>
      <c r="E190" s="6" t="str">
        <f aca="false">IF($A190="","",COUNTIFS('Import InSite'!$I$5:$I$600,$A190))</f>
        <v/>
      </c>
      <c r="F190" s="6" t="str">
        <f aca="false">IF($A190="","",COUNTIFS('Import InSite'!$I$5:$I$600,$A190,'Import InSite'!$E$5:$E$600,"Conteso"))</f>
        <v/>
      </c>
      <c r="G190" s="7"/>
    </row>
    <row r="191" customFormat="false" ht="15" hidden="false" customHeight="false" outlineLevel="0" collapsed="false">
      <c r="A191" s="6"/>
      <c r="B191" s="7"/>
      <c r="C191" s="6"/>
      <c r="D191" s="10" t="str">
        <f aca="false">IF($A191="","",SUMIFS('Import InSite'!$N$5:$N$600,'Import InSite'!$I$5:$I$600,$A191))</f>
        <v/>
      </c>
      <c r="E191" s="6" t="str">
        <f aca="false">IF($A191="","",COUNTIFS('Import InSite'!$I$5:$I$600,$A191))</f>
        <v/>
      </c>
      <c r="F191" s="6" t="str">
        <f aca="false">IF($A191="","",COUNTIFS('Import InSite'!$I$5:$I$600,$A191,'Import InSite'!$E$5:$E$600,"Conteso"))</f>
        <v/>
      </c>
      <c r="G191" s="7"/>
    </row>
    <row r="192" customFormat="false" ht="15" hidden="false" customHeight="false" outlineLevel="0" collapsed="false">
      <c r="A192" s="6"/>
      <c r="B192" s="7"/>
      <c r="C192" s="6"/>
      <c r="D192" s="10" t="str">
        <f aca="false">IF($A192="","",SUMIFS('Import InSite'!$N$5:$N$600,'Import InSite'!$I$5:$I$600,$A192))</f>
        <v/>
      </c>
      <c r="E192" s="6" t="str">
        <f aca="false">IF($A192="","",COUNTIFS('Import InSite'!$I$5:$I$600,$A192))</f>
        <v/>
      </c>
      <c r="F192" s="6" t="str">
        <f aca="false">IF($A192="","",COUNTIFS('Import InSite'!$I$5:$I$600,$A192,'Import InSite'!$E$5:$E$600,"Conteso"))</f>
        <v/>
      </c>
      <c r="G192" s="7"/>
    </row>
    <row r="193" customFormat="false" ht="15" hidden="false" customHeight="false" outlineLevel="0" collapsed="false">
      <c r="A193" s="6"/>
      <c r="B193" s="7"/>
      <c r="C193" s="6"/>
      <c r="D193" s="10" t="str">
        <f aca="false">IF($A193="","",SUMIFS('Import InSite'!$N$5:$N$600,'Import InSite'!$I$5:$I$600,$A193))</f>
        <v/>
      </c>
      <c r="E193" s="6" t="str">
        <f aca="false">IF($A193="","",COUNTIFS('Import InSite'!$I$5:$I$600,$A193))</f>
        <v/>
      </c>
      <c r="F193" s="6" t="str">
        <f aca="false">IF($A193="","",COUNTIFS('Import InSite'!$I$5:$I$600,$A193,'Import InSite'!$E$5:$E$600,"Conteso"))</f>
        <v/>
      </c>
      <c r="G193" s="7"/>
    </row>
    <row r="194" customFormat="false" ht="15" hidden="false" customHeight="false" outlineLevel="0" collapsed="false">
      <c r="A194" s="6"/>
      <c r="B194" s="7"/>
      <c r="C194" s="6"/>
      <c r="D194" s="10" t="str">
        <f aca="false">IF($A194="","",SUMIFS('Import InSite'!$N$5:$N$600,'Import InSite'!$I$5:$I$600,$A194))</f>
        <v/>
      </c>
      <c r="E194" s="6" t="str">
        <f aca="false">IF($A194="","",COUNTIFS('Import InSite'!$I$5:$I$600,$A194))</f>
        <v/>
      </c>
      <c r="F194" s="6" t="str">
        <f aca="false">IF($A194="","",COUNTIFS('Import InSite'!$I$5:$I$600,$A194,'Import InSite'!$E$5:$E$600,"Conteso"))</f>
        <v/>
      </c>
      <c r="G194" s="7"/>
    </row>
    <row r="195" customFormat="false" ht="15" hidden="false" customHeight="false" outlineLevel="0" collapsed="false">
      <c r="A195" s="6"/>
      <c r="B195" s="7"/>
      <c r="C195" s="6"/>
      <c r="D195" s="10" t="str">
        <f aca="false">IF($A195="","",SUMIFS('Import InSite'!$N$5:$N$600,'Import InSite'!$I$5:$I$600,$A195))</f>
        <v/>
      </c>
      <c r="E195" s="6" t="str">
        <f aca="false">IF($A195="","",COUNTIFS('Import InSite'!$I$5:$I$600,$A195))</f>
        <v/>
      </c>
      <c r="F195" s="6" t="str">
        <f aca="false">IF($A195="","",COUNTIFS('Import InSite'!$I$5:$I$600,$A195,'Import InSite'!$E$5:$E$600,"Conteso"))</f>
        <v/>
      </c>
      <c r="G195" s="7"/>
    </row>
    <row r="196" customFormat="false" ht="15" hidden="false" customHeight="false" outlineLevel="0" collapsed="false">
      <c r="A196" s="6"/>
      <c r="B196" s="7"/>
      <c r="C196" s="6"/>
      <c r="D196" s="10" t="str">
        <f aca="false">IF($A196="","",SUMIFS('Import InSite'!$N$5:$N$600,'Import InSite'!$I$5:$I$600,$A196))</f>
        <v/>
      </c>
      <c r="E196" s="6" t="str">
        <f aca="false">IF($A196="","",COUNTIFS('Import InSite'!$I$5:$I$600,$A196))</f>
        <v/>
      </c>
      <c r="F196" s="6" t="str">
        <f aca="false">IF($A196="","",COUNTIFS('Import InSite'!$I$5:$I$600,$A196,'Import InSite'!$E$5:$E$600,"Conteso"))</f>
        <v/>
      </c>
      <c r="G196" s="7"/>
    </row>
    <row r="197" customFormat="false" ht="15" hidden="false" customHeight="false" outlineLevel="0" collapsed="false">
      <c r="A197" s="6"/>
      <c r="B197" s="7"/>
      <c r="C197" s="6"/>
      <c r="D197" s="10" t="str">
        <f aca="false">IF($A197="","",SUMIFS('Import InSite'!$N$5:$N$600,'Import InSite'!$I$5:$I$600,$A197))</f>
        <v/>
      </c>
      <c r="E197" s="6" t="str">
        <f aca="false">IF($A197="","",COUNTIFS('Import InSite'!$I$5:$I$600,$A197))</f>
        <v/>
      </c>
      <c r="F197" s="6" t="str">
        <f aca="false">IF($A197="","",COUNTIFS('Import InSite'!$I$5:$I$600,$A197,'Import InSite'!$E$5:$E$600,"Conteso"))</f>
        <v/>
      </c>
      <c r="G197" s="7"/>
    </row>
    <row r="198" customFormat="false" ht="15" hidden="false" customHeight="false" outlineLevel="0" collapsed="false">
      <c r="A198" s="6"/>
      <c r="B198" s="7"/>
      <c r="C198" s="6"/>
      <c r="D198" s="10" t="str">
        <f aca="false">IF($A198="","",SUMIFS('Import InSite'!$N$5:$N$600,'Import InSite'!$I$5:$I$600,$A198))</f>
        <v/>
      </c>
      <c r="E198" s="6" t="str">
        <f aca="false">IF($A198="","",COUNTIFS('Import InSite'!$I$5:$I$600,$A198))</f>
        <v/>
      </c>
      <c r="F198" s="6" t="str">
        <f aca="false">IF($A198="","",COUNTIFS('Import InSite'!$I$5:$I$600,$A198,'Import InSite'!$E$5:$E$600,"Conteso"))</f>
        <v/>
      </c>
      <c r="G198" s="7"/>
    </row>
    <row r="199" customFormat="false" ht="15" hidden="false" customHeight="false" outlineLevel="0" collapsed="false">
      <c r="A199" s="6"/>
      <c r="B199" s="7"/>
      <c r="C199" s="6"/>
      <c r="D199" s="10" t="str">
        <f aca="false">IF($A199="","",SUMIFS('Import InSite'!$N$5:$N$600,'Import InSite'!$I$5:$I$600,$A199))</f>
        <v/>
      </c>
      <c r="E199" s="6" t="str">
        <f aca="false">IF($A199="","",COUNTIFS('Import InSite'!$I$5:$I$600,$A199))</f>
        <v/>
      </c>
      <c r="F199" s="6" t="str">
        <f aca="false">IF($A199="","",COUNTIFS('Import InSite'!$I$5:$I$600,$A199,'Import InSite'!$E$5:$E$600,"Conteso"))</f>
        <v/>
      </c>
      <c r="G199" s="7"/>
    </row>
    <row r="200" customFormat="false" ht="15" hidden="false" customHeight="false" outlineLevel="0" collapsed="false">
      <c r="A200" s="6"/>
      <c r="B200" s="7"/>
      <c r="C200" s="6"/>
      <c r="D200" s="10" t="str">
        <f aca="false">IF($A200="","",SUMIFS('Import InSite'!$N$5:$N$600,'Import InSite'!$I$5:$I$600,$A200))</f>
        <v/>
      </c>
      <c r="E200" s="6" t="str">
        <f aca="false">IF($A200="","",COUNTIFS('Import InSite'!$I$5:$I$600,$A200))</f>
        <v/>
      </c>
      <c r="F200" s="6" t="str">
        <f aca="false">IF($A200="","",COUNTIFS('Import InSite'!$I$5:$I$600,$A200,'Import InSite'!$E$5:$E$600,"Conteso"))</f>
        <v/>
      </c>
      <c r="G20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16"/>
  </cols>
  <sheetData>
    <row r="2" customFormat="false" ht="15" hidden="false" customHeight="false" outlineLevel="0" collapsed="false">
      <c r="B2" s="1" t="s">
        <v>39</v>
      </c>
    </row>
    <row r="4" customFormat="false" ht="15" hidden="false" customHeight="false" outlineLevel="0" collapsed="false">
      <c r="B4" s="11" t="s">
        <v>40</v>
      </c>
      <c r="C4" s="12"/>
      <c r="D4" s="12"/>
      <c r="E4" s="13" t="n">
        <f aca="false">COUNTA('Import InSite'!A5:A600)</f>
        <v>0</v>
      </c>
    </row>
    <row r="5" customFormat="false" ht="15" hidden="false" customHeight="false" outlineLevel="0" collapsed="false">
      <c r="B5" s="11" t="s">
        <v>41</v>
      </c>
      <c r="C5" s="12"/>
      <c r="D5" s="12"/>
      <c r="E5" s="13" t="n">
        <f aca="false">COUNTIF('Import InSite'!I5:I600,"NON MAPPATO")</f>
        <v>0</v>
      </c>
    </row>
    <row r="6" customFormat="false" ht="15" hidden="false" customHeight="false" outlineLevel="0" collapsed="false">
      <c r="B6" s="11" t="s">
        <v>42</v>
      </c>
      <c r="C6" s="12"/>
      <c r="D6" s="12"/>
      <c r="E6" s="13" t="n">
        <f aca="false">COUNTIF('Import InSite'!E5:E600,"Conteso")</f>
        <v>0</v>
      </c>
    </row>
    <row r="7" customFormat="false" ht="15" hidden="false" customHeight="false" outlineLevel="0" collapsed="false">
      <c r="B7" s="11" t="s">
        <v>43</v>
      </c>
      <c r="C7" s="12"/>
      <c r="D7" s="12"/>
      <c r="E7" s="13" t="n">
        <f aca="false">SUMPRODUCT(('Import InSite'!A5:A600&lt;&gt;"")*('Import InSite'!H5:H600=""))</f>
        <v>0</v>
      </c>
    </row>
    <row r="8" customFormat="false" ht="15" hidden="false" customHeight="false" outlineLevel="0" collapsed="false">
      <c r="B8" s="2" t="s">
        <v>44</v>
      </c>
    </row>
    <row r="10" customFormat="false" ht="15" hidden="false" customHeight="false" outlineLevel="0" collapsed="false">
      <c r="B10" s="14" t="s">
        <v>45</v>
      </c>
    </row>
    <row r="11" customFormat="false" ht="30" hidden="false" customHeight="true" outlineLevel="0" collapsed="false">
      <c r="B11" s="15" t="s">
        <v>4</v>
      </c>
      <c r="C11" s="15" t="s">
        <v>46</v>
      </c>
      <c r="D11" s="15" t="s">
        <v>47</v>
      </c>
      <c r="E11" s="15" t="s">
        <v>48</v>
      </c>
    </row>
    <row r="12" customFormat="false" ht="15" hidden="false" customHeight="false" outlineLevel="0" collapsed="false">
      <c r="B12" s="12" t="s">
        <v>49</v>
      </c>
      <c r="C12" s="16" t="n">
        <f aca="false">SUMIFS('Import InSite'!$N$5:$N$600,'Import InSite'!$C$5:$C$600,B12)</f>
        <v>0</v>
      </c>
      <c r="D12" s="16"/>
      <c r="E12" s="16" t="str">
        <f aca="false">IF(D12="","",D12-C12)</f>
        <v/>
      </c>
    </row>
    <row r="13" customFormat="false" ht="15" hidden="false" customHeight="false" outlineLevel="0" collapsed="false">
      <c r="B13" s="12" t="s">
        <v>14</v>
      </c>
      <c r="C13" s="16" t="n">
        <f aca="false">SUMIFS('Import InSite'!$N$5:$N$600,'Import InSite'!$C$5:$C$600,B13)</f>
        <v>0</v>
      </c>
      <c r="D13" s="16"/>
      <c r="E13" s="16" t="str">
        <f aca="false">IF(D13="","",D13-C13)</f>
        <v/>
      </c>
    </row>
    <row r="14" customFormat="false" ht="15" hidden="false" customHeight="false" outlineLevel="0" collapsed="false">
      <c r="B14" s="12" t="s">
        <v>50</v>
      </c>
      <c r="C14" s="16" t="n">
        <f aca="false">SUMIFS('Import InSite'!$N$5:$N$600,'Import InSite'!$C$5:$C$600,B14)</f>
        <v>0</v>
      </c>
      <c r="D14" s="16"/>
      <c r="E14" s="16" t="str">
        <f aca="false">IF(D14="","",D14-C14)</f>
        <v/>
      </c>
    </row>
    <row r="15" customFormat="false" ht="15" hidden="false" customHeight="false" outlineLevel="0" collapsed="false">
      <c r="B15" s="12" t="s">
        <v>51</v>
      </c>
      <c r="C15" s="16" t="n">
        <f aca="false">SUMIFS('Import InSite'!$N$5:$N$600,'Import InSite'!$C$5:$C$600,B15)</f>
        <v>0</v>
      </c>
      <c r="D15" s="16"/>
      <c r="E15" s="16" t="str">
        <f aca="false">IF(D15="","",D15-C15)</f>
        <v/>
      </c>
    </row>
    <row r="17" customFormat="false" ht="27.75" hidden="false" customHeight="true" outlineLevel="0" collapsed="false">
      <c r="B17" s="17" t="s">
        <v>52</v>
      </c>
      <c r="C17" s="17"/>
      <c r="D17" s="17"/>
      <c r="E17" s="17"/>
    </row>
  </sheetData>
  <mergeCells count="1"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2026-07-04T16:47:53Z</dcterms:created>
  <dc:creator>openpyxl</dc:creator>
  <dc:description/>
  <dc:language>en-US</dc:language>
  <cp:lastModifiedBy/>
  <dcterms:modified xsi:type="dcterms:W3CDTF">2026-07-04T16:47:53Z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